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6ff0cde6518eb22/Desktop/AHS Rotations/Shift_analytics/Sample Rotations/"/>
    </mc:Choice>
  </mc:AlternateContent>
  <xr:revisionPtr revIDLastSave="4" documentId="8_{C2035718-D0E4-4331-9C96-05D129204372}" xr6:coauthVersionLast="47" xr6:coauthVersionMax="47" xr10:uidLastSave="{7F870D02-D077-4606-9879-3E38B3A4CC11}"/>
  <bookViews>
    <workbookView xWindow="28680" yWindow="-120" windowWidth="29040" windowHeight="15720" xr2:uid="{F616AB62-0547-431D-B529-8F05B9CE47B2}"/>
  </bookViews>
  <sheets>
    <sheet name="Sheet1" sheetId="1" r:id="rId1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G19" i="1"/>
  <c r="H18" i="1"/>
  <c r="H13" i="1"/>
  <c r="H12" i="1"/>
  <c r="G12" i="1"/>
  <c r="G17" i="1" l="1"/>
  <c r="G16" i="1"/>
  <c r="H17" i="1"/>
  <c r="G20" i="1"/>
  <c r="H16" i="1"/>
  <c r="H20" i="1"/>
  <c r="G15" i="1"/>
  <c r="G14" i="1"/>
  <c r="H15" i="1"/>
  <c r="G13" i="1"/>
  <c r="H14" i="1"/>
  <c r="H22" i="1"/>
  <c r="G22" i="1"/>
  <c r="H19" i="1"/>
  <c r="G21" i="1"/>
  <c r="G18" i="1"/>
</calcChain>
</file>

<file path=xl/sharedStrings.xml><?xml version="1.0" encoding="utf-8"?>
<sst xmlns="http://schemas.openxmlformats.org/spreadsheetml/2006/main" count="35" uniqueCount="33">
  <si>
    <t xml:space="preserve"> Rotation Analytics Inc</t>
  </si>
  <si>
    <r>
      <rPr>
        <sz val="11"/>
        <color theme="1"/>
        <rFont val="Arial Nova Cond Light"/>
        <family val="2"/>
      </rPr>
      <t xml:space="preserve">  </t>
    </r>
    <r>
      <rPr>
        <sz val="9"/>
        <color theme="1"/>
        <rFont val="Arial Nova Cond Light"/>
        <family val="2"/>
      </rPr>
      <t>Clarity from Complexity</t>
    </r>
  </si>
  <si>
    <t xml:space="preserve">  Fatigue Analysis Report</t>
  </si>
  <si>
    <t xml:space="preserve">0-44 Low / 45-59 Moderate / 60-74 High / 75-100 Critical   </t>
  </si>
  <si>
    <t xml:space="preserve"> Biomathematical Analysis of Rotation - Employee Fatigue While Working</t>
  </si>
  <si>
    <t>Line</t>
  </si>
  <si>
    <t>Fatigue Score</t>
  </si>
  <si>
    <t>Fatigue Risk</t>
  </si>
  <si>
    <t>Rotation Fatigue Score Trend</t>
  </si>
  <si>
    <t>Raw Fatigue Score Data</t>
  </si>
  <si>
    <t>Average</t>
  </si>
  <si>
    <t>Min</t>
  </si>
  <si>
    <t>Max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</si>
  <si>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</si>
  <si>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</si>
  <si>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</si>
  <si>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</si>
  <si>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</si>
  <si>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</si>
  <si>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</si>
  <si>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</si>
  <si>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</si>
  <si>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</si>
  <si>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Fatigue Score Legend:</t>
  </si>
  <si>
    <t>Low</t>
  </si>
  <si>
    <t>Worker is operating within optimal physiological parameters for a standard shift.</t>
  </si>
  <si>
    <t>Moderate</t>
  </si>
  <si>
    <t>Slightly elevated fatigue. Typical of evening shifts and consecutive day shifts with mildly shortened sleep. Performance may be subtly degraded. This is the expected baseline result for shift workers.</t>
  </si>
  <si>
    <t>High</t>
  </si>
  <si>
    <t>Significant fatigue. Typical of night shifts, where the circadian trough compounds sleep pressure. Meaningful degradation in reaction time and decision-making expected.</t>
  </si>
  <si>
    <t>Critical</t>
  </si>
  <si>
    <t>Severe fatigue. Occurs with extended wakefulness, deep circadian trough, and compounding sleep debt. Performance impairment is comparable to levels documented in occupational health fatigue literature. Immediate schedule review required.</t>
  </si>
  <si>
    <r>
      <rPr>
        <b/>
        <sz val="9"/>
        <color theme="1"/>
        <rFont val="Arial Nova Cond Light"/>
        <family val="2"/>
      </rPr>
      <t>How Fatigue Scores Are Calculated:</t>
    </r>
    <r>
      <rPr>
        <sz val="9"/>
        <color theme="1"/>
        <rFont val="Arial Nova Cond Light"/>
        <family val="2"/>
      </rPr>
      <t xml:space="preserve">
This report uses a biomathematical model based on the Three-Process Model (Åkerstedt &amp; Folkard, 1987–2008) to simulate worker fatigue across every day of the rotation. The Fatigue Score (0–100) combines three physiological factors: </t>
    </r>
    <r>
      <rPr>
        <b/>
        <sz val="9"/>
        <color theme="1"/>
        <rFont val="Arial Nova Cond Light"/>
        <family val="2"/>
      </rPr>
      <t>Sleep Pressure</t>
    </r>
    <r>
      <rPr>
        <sz val="9"/>
        <color theme="1"/>
        <rFont val="Arial Nova Cond Light"/>
        <family val="2"/>
      </rPr>
      <t xml:space="preserve"> (how long since adequate sleep — contributes the largest component), </t>
    </r>
    <r>
      <rPr>
        <b/>
        <sz val="9"/>
        <color theme="1"/>
        <rFont val="Arial Nova Cond Light"/>
        <family val="2"/>
      </rPr>
      <t>Circadian Rhythm</t>
    </r>
    <r>
      <rPr>
        <sz val="9"/>
        <color theme="1"/>
        <rFont val="Arial Nova Cond Light"/>
        <family val="2"/>
      </rPr>
      <t xml:space="preserve"> (time-of-day effects — night shifts during the 03–05 biological trough add up to +16 points, while afternoon shifts subtract up to -9 points), and </t>
    </r>
    <r>
      <rPr>
        <b/>
        <sz val="9"/>
        <color theme="1"/>
        <rFont val="Arial Nova Cond Light"/>
        <family val="2"/>
      </rPr>
      <t xml:space="preserve">Sleep Debt </t>
    </r>
    <r>
      <rPr>
        <sz val="9"/>
        <color theme="1"/>
        <rFont val="Arial Nova Cond Light"/>
        <family val="2"/>
      </rPr>
      <t>(accumulated shortfall from consecutive short-rest shifts — adds 2 points per hour). The model simulates sleep timing naturally based on the worker's physiological state, including recovery across days off, rather than assuming fixed sleep windows. Scores represent what a typical working-age adult would experience; individual variation in sleep patterns, age, and health status is not modelled.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</si>
</sst>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;@"/>
    <numFmt numFmtId="165" formatCode="0.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ova Cond Light"/>
      <family val="2"/>
    </font>
    <font>
      <sz val="8"/>
      <color theme="1"/>
      <name val="Arial Nova Cond Light"/>
      <family val="2"/>
    </font>
    <font>
      <b/>
      <sz val="11"/>
      <color theme="1"/>
      <name val="Arial Nova Cond Light"/>
      <family val="2"/>
    </font>
    <font>
      <sz val="9"/>
      <color theme="1"/>
      <name val="Arial Nova Cond Light"/>
      <family val="2"/>
    </font>
    <font>
      <sz val="11"/>
      <color theme="1"/>
      <name val="Arial Nova Cond Light"/>
      <family val="2"/>
    </font>
    <font>
      <b/>
      <sz val="9"/>
      <color theme="0"/>
      <name val="Arial Nova Cond Light"/>
      <family val="2"/>
    </font>
    <font>
      <sz val="9"/>
      <color theme="0"/>
      <name val="Arial Nova Cond Light"/>
      <family val="2"/>
    </font>
    <font>
      <sz val="10"/>
      <color theme="1"/>
      <name val="Arial Nova Cond Light"/>
      <family val="2"/>
    </font>
    <font>
      <b/>
      <sz val="9"/>
      <color theme="1"/>
      <name val="Arial Nova Cond Light"/>
      <family val="2"/>
    </font>
    <font>
      <sz val="8"/>
      <color theme="0"/>
      <name val="Arial Nova Cond Light"/>
      <family val="2"/>
    </font>
  </fonts>
  <fills count="5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theme="9" tint="0.39994506668294322"/>
      </bottom>
      <diagonal/>
    </border>
    <border>
      <left/>
      <right/>
      <top style="medium">
        <color indexed="64"/>
      </top>
      <bottom style="thin">
        <color theme="9" tint="0.39994506668294322"/>
      </bottom>
      <diagonal/>
    </border>
    <border>
      <left style="double">
        <color indexed="64"/>
      </left>
      <right style="thin">
        <color theme="9" tint="0.39994506668294322"/>
      </right>
      <top style="medium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indexed="64"/>
      </right>
      <top style="medium">
        <color indexed="64"/>
      </top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 style="medium">
        <color indexed="64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medium">
        <color indexed="64"/>
      </top>
      <bottom style="thin">
        <color theme="9" tint="0.3999450666829432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theme="9" tint="0.39994506668294322"/>
      </top>
      <bottom style="medium">
        <color indexed="64"/>
      </bottom>
      <diagonal/>
    </border>
    <border>
      <left style="double">
        <color indexed="64"/>
      </left>
      <right style="thin">
        <color theme="9" tint="0.39994506668294322"/>
      </right>
      <top style="thin">
        <color theme="9" tint="0.39994506668294322"/>
      </top>
      <bottom style="medium">
        <color indexed="64"/>
      </bottom>
      <diagonal/>
    </border>
    <border>
      <left style="thin">
        <color theme="9" tint="0.39994506668294322"/>
      </left>
      <right/>
      <top style="thin">
        <color theme="9" tint="0.39994506668294322"/>
      </top>
      <bottom style="medium">
        <color indexed="64"/>
      </bottom>
      <diagonal/>
    </border>
    <border>
      <left style="thin">
        <color theme="9" tint="0.39994506668294322"/>
      </left>
      <right style="medium">
        <color indexed="64"/>
      </right>
      <top style="thin">
        <color theme="9" tint="0.39994506668294322"/>
      </top>
      <bottom style="medium">
        <color indexed="64"/>
      </bottom>
      <diagonal/>
    </border>
    <border>
      <left style="medium">
        <color indexed="64"/>
      </left>
      <right style="thin">
        <color theme="9" tint="0.39994506668294322"/>
      </right>
      <top style="thin">
        <color theme="9" tint="0.39994506668294322"/>
      </top>
      <bottom style="medium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medium">
        <color indexed="64"/>
      </bottom>
      <diagonal/>
    </border>
    <border>
      <left style="medium">
        <color indexed="64"/>
      </left>
      <right style="thin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thin">
        <color theme="9" tint="0.39994506668294322"/>
      </left>
      <right style="thin">
        <color theme="9" tint="0.39994506668294322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theme="9" tint="0.39994506668294322"/>
      </bottom>
      <diagonal/>
    </border>
    <border>
      <left style="double">
        <color auto="1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double">
        <color indexed="64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indexed="64"/>
      </right>
      <top/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/>
      <bottom style="thin">
        <color theme="9" tint="0.39994506668294322"/>
      </bottom>
      <diagonal/>
    </border>
    <border>
      <left style="medium">
        <color indexed="64"/>
      </left>
      <right/>
      <top style="thin">
        <color theme="9" tint="0.39994506668294322"/>
      </top>
      <bottom style="thin">
        <color theme="9" tint="0.39994506668294322"/>
      </bottom>
      <diagonal/>
    </border>
    <border>
      <left style="double">
        <color indexed="64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medium">
        <color indexed="64"/>
      </right>
      <top style="thin">
        <color theme="9" tint="0.39994506668294322"/>
      </top>
      <bottom style="thin">
        <color theme="9" tint="0.39994506668294322"/>
      </bottom>
      <diagonal/>
    </border>
    <border>
      <left style="medium">
        <color indexed="64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 style="thin">
        <color theme="9" tint="0.39994506668294322"/>
      </left>
      <right style="thin">
        <color theme="9" tint="0.39994506668294322"/>
      </right>
      <top style="thin">
        <color theme="9" tint="0.39994506668294322"/>
      </top>
      <bottom style="thin">
        <color theme="9" tint="0.39994506668294322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Alignment="1">
      <alignment horizontal="left" vertical="top"/>
    </xf>
    <xf numFmtId="0" fontId="6" fillId="0" borderId="0" xfId="0" applyFont="1"/>
    <xf numFmtId="0" fontId="6" fillId="2" borderId="1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4" fillId="0" borderId="3" xfId="0" applyFont="1" applyBorder="1"/>
    <xf numFmtId="0" fontId="1" fillId="0" borderId="0" xfId="0" applyFont="1" applyAlignment="1">
      <alignment vertical="center"/>
    </xf>
    <xf numFmtId="0" fontId="1" fillId="0" borderId="3" xfId="0" applyFont="1" applyBorder="1"/>
    <xf numFmtId="0" fontId="9" fillId="0" borderId="12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2" fillId="4" borderId="18" xfId="0" applyNumberFormat="1" applyFont="1" applyFill="1" applyBorder="1" applyAlignment="1">
      <alignment horizontal="center" vertical="center"/>
    </xf>
    <xf numFmtId="164" fontId="2" fillId="4" borderId="19" xfId="0" applyNumberFormat="1" applyFont="1" applyFill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5" fontId="4" fillId="0" borderId="21" xfId="0" applyNumberFormat="1" applyFont="1" applyBorder="1" applyAlignment="1">
      <alignment horizontal="center" vertical="center"/>
    </xf>
    <xf numFmtId="165" fontId="4" fillId="0" borderId="22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0" fillId="0" borderId="0" xfId="0" applyFont="1"/>
    <xf numFmtId="0" fontId="9" fillId="0" borderId="26" xfId="0" applyFont="1" applyBorder="1" applyAlignment="1">
      <alignment horizontal="center" vertical="center"/>
    </xf>
    <xf numFmtId="165" fontId="4" fillId="0" borderId="27" xfId="0" applyNumberFormat="1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1" fillId="0" borderId="2" xfId="0" applyFont="1" applyBorder="1"/>
    <xf numFmtId="0" fontId="2" fillId="0" borderId="31" xfId="0" applyFont="1" applyBorder="1"/>
    <xf numFmtId="0" fontId="1" fillId="0" borderId="31" xfId="0" applyFont="1" applyBorder="1"/>
    <xf numFmtId="0" fontId="1" fillId="0" borderId="3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0" xfId="0" applyFont="1" applyBorder="1" applyAlignment="1">
      <alignment horizontal="left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7" xfId="0" applyFont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2" xfId="0" applyFont="1" applyFill="1" applyBorder="1" applyAlignment="1">
      <alignment horizontal="left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right" vertical="center"/>
    </xf>
    <xf numFmtId="0" fontId="8" fillId="3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9" fillId="4" borderId="6" xfId="0" applyFont="1" applyFill="1" applyBorder="1" applyAlignment="1">
      <alignment horizontal="center" vertical="center"/>
    </xf>
    <xf numFmtId="0" fontId="9" fillId="4" borderId="7" xfId="0" applyFont="1" applyFill="1" applyBorder="1" applyAlignment="1">
      <alignment horizontal="center" vertical="center"/>
    </xf>
    <xf numFmtId="0" fontId="9" fillId="4" borderId="8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color auto="1"/>
      </font>
      <fill>
        <patternFill>
          <bgColor rgb="FFC6EFCE"/>
        </patternFill>
      </fill>
    </dxf>
    <dxf>
      <font>
        <color auto="1"/>
      </font>
      <fill>
        <patternFill>
          <bgColor rgb="FFFFFBE7"/>
        </patternFill>
      </fill>
    </dxf>
    <dxf>
      <font>
        <color auto="1"/>
      </font>
      <fill>
        <patternFill>
          <bgColor rgb="FFFFC7CE"/>
        </patternFill>
      </fill>
    </dxf>
    <dxf>
      <font>
        <b/>
        <i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182880</xdr:colOff>
      <xdr:row>1</xdr:row>
      <xdr:rowOff>15240</xdr:rowOff>
    </xdr:from>
    <xdr:to>
      <xdr:col>4</xdr:col>
      <xdr:colOff>129540</xdr:colOff>
      <xdr:row>5</xdr:row>
      <xdr:rowOff>38100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C5D6C2-18DD-452F-BEAC-36127352C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" y="60960"/>
          <a:ext cx="845820" cy="8229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Violet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20A1B-9939-4083-B5DC-A055CF51243D}">
  <dimension ref="A1:CL30"/>
  <sheetViews>
    <sheetView showGridLines="0" tabSelected="1" workbookViewId="0">
      <selection activeCell="C30" sqref="C30:R30"/>
    </sheetView>
  </sheetViews>
  <sheetFormatPr defaultColWidth="8.85546875" defaultRowHeight="15.75" x14ac:dyDescent="0.25"/>
  <cols>
    <col min="1" max="1" width="0.7109375" style="1" customWidth="1"/>
    <col min="2" max="2" width="4" style="1" customWidth="1"/>
    <col min="3" max="3" width="5.7109375" style="1" customWidth="1"/>
    <col min="4" max="6" width="7.28515625" style="1" customWidth="1"/>
    <col min="7" max="8" width="9.28515625" style="1" customWidth="1"/>
    <col min="9" max="18" width="7.28515625" style="1" customWidth="1"/>
    <col min="19" max="19" width="0.7109375" style="1" customWidth="1"/>
    <col min="20" max="28" width="3" style="2" customWidth="1"/>
    <col min="29" max="77" width="3.85546875" style="2" bestFit="1" customWidth="1"/>
    <col min="78" max="89" width="3.85546875" style="1" bestFit="1" customWidth="1"/>
    <col min="90" max="16384" width="8.85546875" style="1"/>
  </cols>
  <sheetData>
    <row r="1" spans="1:90" ht="3.6" customHeight="1" x14ac:dyDescent="0.25"/>
    <row r="2" spans="1:90" x14ac:dyDescent="0.25">
      <c r="B2" s="3"/>
      <c r="C2" s="3"/>
      <c r="D2" s="3"/>
    </row>
    <row r="3" spans="1:90" x14ac:dyDescent="0.25">
      <c r="B3" s="3"/>
      <c r="C3" s="3"/>
      <c r="E3" s="4" t="s">
        <v>0</v>
      </c>
      <c r="I3" s="5"/>
      <c r="J3" s="5"/>
      <c r="K3" s="5"/>
      <c r="L3" s="5"/>
      <c r="M3" s="5"/>
      <c r="N3" s="5"/>
      <c r="O3" s="5"/>
      <c r="P3" s="5"/>
      <c r="Q3" s="5"/>
      <c r="R3" s="5"/>
      <c r="S3" s="6"/>
    </row>
    <row r="4" spans="1:90" x14ac:dyDescent="0.25">
      <c r="B4" s="3"/>
      <c r="C4" s="3"/>
      <c r="E4" s="7" t="s">
        <v>1</v>
      </c>
      <c r="I4" s="5"/>
      <c r="J4" s="5"/>
      <c r="K4" s="5"/>
      <c r="L4" s="5"/>
      <c r="M4" s="5"/>
      <c r="N4" s="5"/>
      <c r="O4" s="5"/>
      <c r="P4" s="5"/>
      <c r="Q4" s="5"/>
      <c r="R4" s="5"/>
      <c r="S4" s="6"/>
    </row>
    <row r="5" spans="1:90" ht="16.5" thickBot="1" x14ac:dyDescent="0.3">
      <c r="B5" s="3"/>
      <c r="C5" s="3"/>
      <c r="D5" s="3"/>
      <c r="I5" s="5"/>
      <c r="J5" s="5"/>
      <c r="K5" s="5"/>
      <c r="L5" s="5"/>
      <c r="M5" s="5"/>
      <c r="N5" s="5"/>
      <c r="O5" s="5"/>
      <c r="P5" s="5"/>
      <c r="Q5" s="5"/>
      <c r="R5" s="5"/>
      <c r="S5" s="6"/>
    </row>
    <row r="6" spans="1:90" ht="16.5" thickBot="1" x14ac:dyDescent="0.3">
      <c r="B6" s="8"/>
      <c r="C6" s="9" t="s">
        <v>2</v>
      </c>
      <c r="D6" s="10"/>
      <c r="E6" s="10"/>
      <c r="F6" s="55" t="s">
        <v>3</v>
      </c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11"/>
    </row>
    <row r="7" spans="1:90" ht="3.6" customHeight="1" thickBot="1" x14ac:dyDescent="0.3">
      <c r="B7" s="3"/>
      <c r="C7" s="3"/>
      <c r="D7" s="3"/>
    </row>
    <row r="8" spans="1:90" ht="16.5" thickBot="1" x14ac:dyDescent="0.3">
      <c r="B8" s="12"/>
      <c r="C8" s="56" t="s">
        <v>4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13"/>
    </row>
    <row r="9" spans="1:90" ht="3.6" customHeight="1" thickBot="1" x14ac:dyDescent="0.3"/>
    <row r="10" spans="1:90" ht="16.5" thickBot="1" x14ac:dyDescent="0.3">
      <c r="C10" s="58" t="s">
        <v>5</v>
      </c>
      <c r="D10" s="60" t="s">
        <v>6</v>
      </c>
      <c r="E10" s="61"/>
      <c r="F10" s="61"/>
      <c r="G10" s="62" t="s">
        <v>7</v>
      </c>
      <c r="H10" s="63"/>
      <c r="I10" s="64" t="s">
        <v>8</v>
      </c>
      <c r="J10" s="65"/>
      <c r="K10" s="65"/>
      <c r="L10" s="65"/>
      <c r="M10" s="65"/>
      <c r="N10" s="65"/>
      <c r="O10" s="65"/>
      <c r="P10" s="65"/>
      <c r="Q10" s="65"/>
      <c r="R10" s="65"/>
      <c r="S10" s="13"/>
      <c r="T10" s="2" t="s">
        <v>9</v>
      </c>
    </row>
    <row r="11" spans="1:90" ht="16.5" thickBot="1" x14ac:dyDescent="0.3">
      <c r="C11" s="59"/>
      <c r="D11" s="14" t="s">
        <v>10</v>
      </c>
      <c r="E11" s="15" t="s">
        <v>11</v>
      </c>
      <c r="F11" s="16" t="s">
        <v>12</v>
      </c>
      <c r="G11" s="15" t="s">
        <v>10</v>
      </c>
      <c r="H11" s="17" t="s">
        <v>12</v>
      </c>
      <c r="I11" s="18" t="s">
        <v>13</v>
      </c>
      <c r="J11" s="19" t="s">
        <v>14</v>
      </c>
      <c r="K11" s="19" t="s">
        <v>15</v>
      </c>
      <c r="L11" s="19" t="s">
        <v>16</v>
      </c>
      <c r="M11" s="19" t="s">
        <v>17</v>
      </c>
      <c r="N11" s="19" t="s">
        <v>18</v>
      </c>
      <c r="O11" s="19" t="s">
        <v>19</v>
      </c>
      <c r="P11" s="19" t="s">
        <v>20</v>
      </c>
      <c r="Q11" s="19" t="s">
        <v>21</v>
      </c>
      <c r="R11" s="19" t="s">
        <v>22</v>
      </c>
      <c r="S11" s="13"/>
      <c r="T11" s="20">
        <v>46023</v>
      </c>
      <c r="U11" s="21">
        <v>46024</v>
      </c>
      <c r="V11" s="21">
        <v>46025</v>
      </c>
      <c r="W11" s="21">
        <v>46026</v>
      </c>
      <c r="X11" s="21">
        <v>46027</v>
      </c>
      <c r="Y11" s="21">
        <v>46028</v>
      </c>
      <c r="Z11" s="21">
        <v>46029</v>
      </c>
      <c r="AA11" s="21">
        <v>46030</v>
      </c>
      <c r="AB11" s="21">
        <v>46031</v>
      </c>
      <c r="AC11" s="21">
        <v>46032</v>
      </c>
      <c r="AD11" s="21">
        <v>46033</v>
      </c>
      <c r="AE11" s="21">
        <v>46034</v>
      </c>
      <c r="AF11" s="21">
        <v>46035</v>
      </c>
      <c r="AG11" s="21">
        <v>46036</v>
      </c>
      <c r="AH11" s="21">
        <v>46037</v>
      </c>
      <c r="AI11" s="21">
        <v>46038</v>
      </c>
      <c r="AJ11" s="21">
        <v>46039</v>
      </c>
      <c r="AK11" s="21">
        <v>46040</v>
      </c>
      <c r="AL11" s="21">
        <v>46041</v>
      </c>
      <c r="AM11" s="21">
        <v>46042</v>
      </c>
      <c r="AN11" s="21">
        <v>46043</v>
      </c>
      <c r="AO11" s="21">
        <v>46044</v>
      </c>
      <c r="AP11" s="21">
        <v>46045</v>
      </c>
      <c r="AQ11" s="21">
        <v>46046</v>
      </c>
      <c r="AR11" s="21">
        <v>46047</v>
      </c>
      <c r="AS11" s="21">
        <v>46048</v>
      </c>
      <c r="AT11" s="21">
        <v>46049</v>
      </c>
      <c r="AU11" s="21">
        <v>46050</v>
      </c>
      <c r="AV11" s="21">
        <v>46051</v>
      </c>
      <c r="AW11" s="21">
        <v>46052</v>
      </c>
      <c r="AX11" s="21">
        <v>46053</v>
      </c>
      <c r="AY11" s="21">
        <v>46054</v>
      </c>
      <c r="AZ11" s="21">
        <v>46055</v>
      </c>
      <c r="BA11" s="21">
        <v>46056</v>
      </c>
      <c r="BB11" s="21">
        <v>46057</v>
      </c>
      <c r="BC11" s="21">
        <v>46058</v>
      </c>
      <c r="BD11" s="21">
        <v>46059</v>
      </c>
      <c r="BE11" s="21">
        <v>46060</v>
      </c>
      <c r="BF11" s="21">
        <v>46061</v>
      </c>
      <c r="BG11" s="21">
        <v>46062</v>
      </c>
      <c r="BH11" s="21">
        <v>46063</v>
      </c>
      <c r="BI11" s="21">
        <v>46064</v>
      </c>
      <c r="BJ11" s="21">
        <v>46065</v>
      </c>
      <c r="BK11" s="21">
        <v>46066</v>
      </c>
      <c r="BL11" s="21">
        <v>46067</v>
      </c>
      <c r="BM11" s="21">
        <v>46068</v>
      </c>
      <c r="BN11" s="21">
        <v>46069</v>
      </c>
      <c r="BO11" s="21">
        <v>46070</v>
      </c>
      <c r="BP11" s="21">
        <v>46071</v>
      </c>
      <c r="BQ11" s="21">
        <v>46072</v>
      </c>
      <c r="BR11" s="21">
        <v>46073</v>
      </c>
      <c r="BS11" s="21">
        <v>46074</v>
      </c>
      <c r="BT11" s="21">
        <v>46075</v>
      </c>
      <c r="BU11" s="21">
        <v>46076</v>
      </c>
      <c r="BV11" s="21">
        <v>46077</v>
      </c>
      <c r="BW11" s="21">
        <v>46078</v>
      </c>
      <c r="BX11" s="21">
        <v>46079</v>
      </c>
      <c r="BY11" s="21">
        <v>46080</v>
      </c>
      <c r="BZ11" s="21">
        <v>46081</v>
      </c>
      <c r="CA11" s="21">
        <v>46082</v>
      </c>
      <c r="CB11" s="21">
        <v>46083</v>
      </c>
      <c r="CC11" s="21">
        <v>46084</v>
      </c>
      <c r="CD11" s="21">
        <v>46085</v>
      </c>
      <c r="CE11" s="21">
        <v>46086</v>
      </c>
      <c r="CF11" s="21">
        <v>46087</v>
      </c>
      <c r="CG11" s="21">
        <v>46088</v>
      </c>
      <c r="CH11" s="21">
        <v>46089</v>
      </c>
      <c r="CI11" s="21">
        <v>46090</v>
      </c>
      <c r="CJ11" s="21">
        <v>46091</v>
      </c>
      <c r="CK11" s="21">
        <v>46092</v>
      </c>
      <c r="CL11" s="13"/>
    </row>
    <row r="12" spans="1:90" ht="28.9" customHeight="1" x14ac:dyDescent="0.25">
      <c r="C12" s="22">
        <v>1</v>
      </c>
      <c r="D12" s="23">
        <v>45.878000000000014</v>
      </c>
      <c r="E12" s="24">
        <v>36.200000000000003</v>
      </c>
      <c r="F12" s="25">
        <v>55.9</v>
      </c>
      <c r="G12" s="24" t="str">
        <f>IF(D12="","",IF(D12&gt;=75,"Critical",IF(D12&gt;=60,"High",IF(D12&gt;=45,"Moderate","Low"))))</f>
        <v>Moderate</v>
      </c>
      <c r="H12" s="26" t="str">
        <f>IF(F12="","",IF(F12&gt;=75,"Critical",IF(F12&gt;=60,"High",IF(F12&gt;=45,"Moderate","Low"))))</f>
        <v>Moderate</v>
      </c>
      <c r="I12" s="27"/>
      <c r="J12" s="28"/>
      <c r="K12" s="28"/>
      <c r="L12" s="28"/>
      <c r="M12" s="28"/>
      <c r="N12" s="28"/>
      <c r="O12" s="28"/>
      <c r="P12" s="28"/>
      <c r="Q12" s="28"/>
      <c r="R12" s="28"/>
      <c r="S12" s="13"/>
      <c r="T12" s="29">
        <v>45.4</v>
      </c>
      <c r="U12" s="30">
        <v>42.1</v>
      </c>
      <c r="V12" s="30">
        <v>41.4</v>
      </c>
      <c r="W12" s="30">
        <v>42</v>
      </c>
      <c r="X12" s="30">
        <v>41.4</v>
      </c>
      <c r="Y12" s="30">
        <v>36.200000000000003</v>
      </c>
      <c r="Z12" s="30">
        <v>44.8</v>
      </c>
      <c r="AA12" s="30">
        <v>26.7</v>
      </c>
      <c r="AB12" s="30">
        <v>25.1</v>
      </c>
      <c r="AC12" s="30">
        <v>43.4</v>
      </c>
      <c r="AD12" s="30">
        <v>50.6</v>
      </c>
      <c r="AE12" s="30">
        <v>55.9</v>
      </c>
      <c r="AF12" s="30">
        <v>54.8</v>
      </c>
      <c r="AG12" s="30">
        <v>55.5</v>
      </c>
      <c r="AH12" s="30">
        <v>29.1</v>
      </c>
      <c r="AI12" s="30">
        <v>22.2</v>
      </c>
      <c r="AJ12" s="30">
        <v>44.1</v>
      </c>
      <c r="AK12" s="30">
        <v>36.6</v>
      </c>
      <c r="AL12" s="30">
        <v>46.4</v>
      </c>
      <c r="AM12" s="30">
        <v>41.5</v>
      </c>
      <c r="AN12" s="30">
        <v>42</v>
      </c>
      <c r="AO12" s="30">
        <v>41.4</v>
      </c>
      <c r="AP12" s="30">
        <v>25.1</v>
      </c>
      <c r="AQ12" s="30">
        <v>24.1</v>
      </c>
      <c r="AR12" s="30">
        <v>43.9</v>
      </c>
      <c r="AS12" s="30">
        <v>37.4</v>
      </c>
      <c r="AT12" s="30">
        <v>26.7</v>
      </c>
      <c r="AU12" s="30">
        <v>25.1</v>
      </c>
      <c r="AV12" s="30">
        <v>43.4</v>
      </c>
      <c r="AW12" s="30">
        <v>50.6</v>
      </c>
      <c r="AX12" s="30">
        <v>55.9</v>
      </c>
      <c r="AY12" s="30">
        <v>54.8</v>
      </c>
      <c r="AZ12" s="30">
        <v>55.5</v>
      </c>
      <c r="BA12" s="30">
        <v>29.1</v>
      </c>
      <c r="BB12" s="30">
        <v>22.2</v>
      </c>
      <c r="BC12" s="30">
        <v>45.3</v>
      </c>
      <c r="BD12" s="30">
        <v>42.1</v>
      </c>
      <c r="BE12" s="30">
        <v>41.4</v>
      </c>
      <c r="BF12" s="30">
        <v>42</v>
      </c>
      <c r="BG12" s="30">
        <v>41.4</v>
      </c>
      <c r="BH12" s="30">
        <v>36.200000000000003</v>
      </c>
      <c r="BI12" s="30">
        <v>44.8</v>
      </c>
      <c r="BJ12" s="30">
        <v>26.7</v>
      </c>
      <c r="BK12" s="30">
        <v>25.1</v>
      </c>
      <c r="BL12" s="30">
        <v>43.4</v>
      </c>
      <c r="BM12" s="30">
        <v>50.6</v>
      </c>
      <c r="BN12" s="30">
        <v>55.9</v>
      </c>
      <c r="BO12" s="30">
        <v>54.8</v>
      </c>
      <c r="BP12" s="30">
        <v>55.5</v>
      </c>
      <c r="BQ12" s="30">
        <v>29.1</v>
      </c>
      <c r="BR12" s="30">
        <v>22.2</v>
      </c>
      <c r="BS12" s="30">
        <v>44.1</v>
      </c>
      <c r="BT12" s="30">
        <v>36.6</v>
      </c>
      <c r="BU12" s="30">
        <v>46.4</v>
      </c>
      <c r="BV12" s="30">
        <v>41.5</v>
      </c>
      <c r="BW12" s="30">
        <v>42</v>
      </c>
      <c r="BX12" s="30">
        <v>41.4</v>
      </c>
      <c r="BY12" s="30">
        <v>25.1</v>
      </c>
      <c r="BZ12" s="30">
        <v>24.1</v>
      </c>
      <c r="CA12" s="30">
        <v>43.9</v>
      </c>
      <c r="CB12" s="30">
        <v>37.4</v>
      </c>
      <c r="CC12" s="30">
        <v>26.7</v>
      </c>
      <c r="CD12" s="30">
        <v>25.1</v>
      </c>
      <c r="CE12" s="30">
        <v>43.4</v>
      </c>
      <c r="CF12" s="30">
        <v>50.6</v>
      </c>
      <c r="CG12" s="30">
        <v>55.9</v>
      </c>
      <c r="CH12" s="30">
        <v>54.8</v>
      </c>
      <c r="CI12" s="30">
        <v>55.5</v>
      </c>
      <c r="CJ12" s="30">
        <v>29.1</v>
      </c>
      <c r="CK12" s="30">
        <v>22.2</v>
      </c>
      <c r="CL12" s="13"/>
    </row>
    <row r="13" spans="1:90" ht="28.9" customHeight="1" x14ac:dyDescent="0.25">
      <c r="A13" s="31"/>
      <c r="C13" s="32">
        <v>2</v>
      </c>
      <c r="D13" s="23">
        <v>46.04399999999999</v>
      </c>
      <c r="E13" s="24">
        <v>36.6</v>
      </c>
      <c r="F13" s="25">
        <v>55.9</v>
      </c>
      <c r="G13" s="33" t="str">
        <f t="shared" ref="G13:G22" si="0">IF(D13="","",IF(D13&gt;=75,"Critical",IF(D13&gt;=60,"High",IF(D13&gt;=45,"Moderate","Low"))))</f>
        <v>Moderate</v>
      </c>
      <c r="H13" s="34" t="str">
        <f t="shared" ref="H13:H22" si="1">IF(F13="","",IF(F13&gt;=75,"Critical",IF(F13&gt;=60,"High",IF(F13&gt;=45,"Moderate","Low"))))</f>
        <v>Moderate</v>
      </c>
      <c r="I13" s="27"/>
      <c r="J13" s="28"/>
      <c r="K13" s="28"/>
      <c r="L13" s="28"/>
      <c r="M13" s="28"/>
      <c r="N13" s="28"/>
      <c r="O13" s="28"/>
      <c r="P13" s="28"/>
      <c r="Q13" s="28"/>
      <c r="R13" s="28"/>
      <c r="S13" s="13"/>
      <c r="T13" s="35">
        <v>41.9</v>
      </c>
      <c r="U13" s="36">
        <v>26.2</v>
      </c>
      <c r="V13" s="36">
        <v>24.6</v>
      </c>
      <c r="W13" s="36">
        <v>43.4</v>
      </c>
      <c r="X13" s="36">
        <v>50.6</v>
      </c>
      <c r="Y13" s="36">
        <v>27.9</v>
      </c>
      <c r="Z13" s="36">
        <v>24.1</v>
      </c>
      <c r="AA13" s="36">
        <v>43.9</v>
      </c>
      <c r="AB13" s="36">
        <v>37.4</v>
      </c>
      <c r="AC13" s="36">
        <v>36.6</v>
      </c>
      <c r="AD13" s="36">
        <v>45.2</v>
      </c>
      <c r="AE13" s="36">
        <v>36.6</v>
      </c>
      <c r="AF13" s="36">
        <v>25.1</v>
      </c>
      <c r="AG13" s="36">
        <v>24.1</v>
      </c>
      <c r="AH13" s="36">
        <v>45</v>
      </c>
      <c r="AI13" s="36">
        <v>42</v>
      </c>
      <c r="AJ13" s="36">
        <v>41.4</v>
      </c>
      <c r="AK13" s="36">
        <v>42</v>
      </c>
      <c r="AL13" s="36">
        <v>51.9</v>
      </c>
      <c r="AM13" s="36">
        <v>55.3</v>
      </c>
      <c r="AN13" s="36">
        <v>55.5</v>
      </c>
      <c r="AO13" s="36">
        <v>29.1</v>
      </c>
      <c r="AP13" s="36">
        <v>22.2</v>
      </c>
      <c r="AQ13" s="36">
        <v>50.6</v>
      </c>
      <c r="AR13" s="36">
        <v>55.9</v>
      </c>
      <c r="AS13" s="36">
        <v>54.8</v>
      </c>
      <c r="AT13" s="36">
        <v>55.5</v>
      </c>
      <c r="AU13" s="36">
        <v>55.5</v>
      </c>
      <c r="AV13" s="36">
        <v>29.1</v>
      </c>
      <c r="AW13" s="36">
        <v>22.2</v>
      </c>
      <c r="AX13" s="36">
        <v>44.1</v>
      </c>
      <c r="AY13" s="36">
        <v>36.6</v>
      </c>
      <c r="AZ13" s="36">
        <v>45.2</v>
      </c>
      <c r="BA13" s="36">
        <v>42.6</v>
      </c>
      <c r="BB13" s="36">
        <v>41.5</v>
      </c>
      <c r="BC13" s="36">
        <v>42.1</v>
      </c>
      <c r="BD13" s="36">
        <v>26.2</v>
      </c>
      <c r="BE13" s="36">
        <v>24.6</v>
      </c>
      <c r="BF13" s="36">
        <v>43.4</v>
      </c>
      <c r="BG13" s="36">
        <v>50.6</v>
      </c>
      <c r="BH13" s="36">
        <v>27.9</v>
      </c>
      <c r="BI13" s="36">
        <v>24.1</v>
      </c>
      <c r="BJ13" s="36">
        <v>43.9</v>
      </c>
      <c r="BK13" s="36">
        <v>37.4</v>
      </c>
      <c r="BL13" s="36">
        <v>36.6</v>
      </c>
      <c r="BM13" s="36">
        <v>45.2</v>
      </c>
      <c r="BN13" s="36">
        <v>36.6</v>
      </c>
      <c r="BO13" s="36">
        <v>25.1</v>
      </c>
      <c r="BP13" s="36">
        <v>24.1</v>
      </c>
      <c r="BQ13" s="36">
        <v>45</v>
      </c>
      <c r="BR13" s="36">
        <v>42</v>
      </c>
      <c r="BS13" s="36">
        <v>41.4</v>
      </c>
      <c r="BT13" s="36">
        <v>42</v>
      </c>
      <c r="BU13" s="36">
        <v>51.9</v>
      </c>
      <c r="BV13" s="36">
        <v>55.3</v>
      </c>
      <c r="BW13" s="36">
        <v>55.5</v>
      </c>
      <c r="BX13" s="36">
        <v>29.1</v>
      </c>
      <c r="BY13" s="36">
        <v>22.2</v>
      </c>
      <c r="BZ13" s="36">
        <v>50.6</v>
      </c>
      <c r="CA13" s="36">
        <v>55.9</v>
      </c>
      <c r="CB13" s="36">
        <v>54.8</v>
      </c>
      <c r="CC13" s="36">
        <v>55.5</v>
      </c>
      <c r="CD13" s="36">
        <v>55.5</v>
      </c>
      <c r="CE13" s="36">
        <v>29.1</v>
      </c>
      <c r="CF13" s="36">
        <v>22.2</v>
      </c>
      <c r="CG13" s="36">
        <v>44.1</v>
      </c>
      <c r="CH13" s="36">
        <v>36.6</v>
      </c>
      <c r="CI13" s="36">
        <v>45.2</v>
      </c>
      <c r="CJ13" s="36">
        <v>42.6</v>
      </c>
      <c r="CK13" s="36">
        <v>41.5</v>
      </c>
      <c r="CL13" s="13"/>
    </row>
    <row r="14" spans="1:90" ht="28.9" customHeight="1" x14ac:dyDescent="0.25">
      <c r="A14" s="31"/>
      <c r="C14" s="32">
        <v>3</v>
      </c>
      <c r="D14" s="23">
        <v>49.063999999999993</v>
      </c>
      <c r="E14" s="24">
        <v>36.1</v>
      </c>
      <c r="F14" s="25">
        <v>66.900000000000006</v>
      </c>
      <c r="G14" s="33" t="str">
        <f t="shared" si="0"/>
        <v>Moderate</v>
      </c>
      <c r="H14" s="34" t="str">
        <f t="shared" si="1"/>
        <v>High</v>
      </c>
      <c r="I14" s="27"/>
      <c r="J14" s="28"/>
      <c r="K14" s="28"/>
      <c r="L14" s="28"/>
      <c r="M14" s="28"/>
      <c r="N14" s="28"/>
      <c r="O14" s="28"/>
      <c r="P14" s="28"/>
      <c r="Q14" s="28"/>
      <c r="R14" s="28"/>
      <c r="S14" s="13"/>
      <c r="T14" s="35">
        <v>36.1</v>
      </c>
      <c r="U14" s="36">
        <v>44.8</v>
      </c>
      <c r="V14" s="36">
        <v>26.7</v>
      </c>
      <c r="W14" s="36">
        <v>25.1</v>
      </c>
      <c r="X14" s="36">
        <v>45.5</v>
      </c>
      <c r="Y14" s="36">
        <v>42.6</v>
      </c>
      <c r="Z14" s="36">
        <v>41.5</v>
      </c>
      <c r="AA14" s="36">
        <v>25.1</v>
      </c>
      <c r="AB14" s="36">
        <v>24.1</v>
      </c>
      <c r="AC14" s="36">
        <v>66.400000000000006</v>
      </c>
      <c r="AD14" s="36">
        <v>64.400000000000006</v>
      </c>
      <c r="AE14" s="36">
        <v>64.3</v>
      </c>
      <c r="AF14" s="36">
        <v>64.3</v>
      </c>
      <c r="AG14" s="36">
        <v>64.3</v>
      </c>
      <c r="AH14" s="36">
        <v>22.8</v>
      </c>
      <c r="AI14" s="36">
        <v>25.7</v>
      </c>
      <c r="AJ14" s="36">
        <v>66.900000000000006</v>
      </c>
      <c r="AK14" s="36">
        <v>64.5</v>
      </c>
      <c r="AL14" s="36">
        <v>64.3</v>
      </c>
      <c r="AM14" s="36">
        <v>22.8</v>
      </c>
      <c r="AN14" s="36">
        <v>25.7</v>
      </c>
      <c r="AO14" s="36">
        <v>45.8</v>
      </c>
      <c r="AP14" s="36">
        <v>41.4</v>
      </c>
      <c r="AQ14" s="36">
        <v>36.200000000000003</v>
      </c>
      <c r="AR14" s="36">
        <v>44.8</v>
      </c>
      <c r="AS14" s="36">
        <v>36.6</v>
      </c>
      <c r="AT14" s="36">
        <v>25.1</v>
      </c>
      <c r="AU14" s="36">
        <v>24.1</v>
      </c>
      <c r="AV14" s="36">
        <v>43.9</v>
      </c>
      <c r="AW14" s="36">
        <v>37.4</v>
      </c>
      <c r="AX14" s="36">
        <v>42.6</v>
      </c>
      <c r="AY14" s="36">
        <v>41.5</v>
      </c>
      <c r="AZ14" s="36">
        <v>42.1</v>
      </c>
      <c r="BA14" s="36">
        <v>26.2</v>
      </c>
      <c r="BB14" s="36">
        <v>24.6</v>
      </c>
      <c r="BC14" s="36">
        <v>45.4</v>
      </c>
      <c r="BD14" s="36">
        <v>36.700000000000003</v>
      </c>
      <c r="BE14" s="36">
        <v>45.2</v>
      </c>
      <c r="BF14" s="36">
        <v>36.6</v>
      </c>
      <c r="BG14" s="36">
        <v>45.2</v>
      </c>
      <c r="BH14" s="36">
        <v>42.6</v>
      </c>
      <c r="BI14" s="36">
        <v>41.5</v>
      </c>
      <c r="BJ14" s="36">
        <v>25.1</v>
      </c>
      <c r="BK14" s="36">
        <v>24.1</v>
      </c>
      <c r="BL14" s="36">
        <v>66.400000000000006</v>
      </c>
      <c r="BM14" s="36">
        <v>64.400000000000006</v>
      </c>
      <c r="BN14" s="36">
        <v>64.3</v>
      </c>
      <c r="BO14" s="36">
        <v>64.3</v>
      </c>
      <c r="BP14" s="36">
        <v>64.3</v>
      </c>
      <c r="BQ14" s="36">
        <v>22.8</v>
      </c>
      <c r="BR14" s="36">
        <v>25.7</v>
      </c>
      <c r="BS14" s="36">
        <v>66.900000000000006</v>
      </c>
      <c r="BT14" s="36">
        <v>64.5</v>
      </c>
      <c r="BU14" s="36">
        <v>64.3</v>
      </c>
      <c r="BV14" s="36">
        <v>22.8</v>
      </c>
      <c r="BW14" s="36">
        <v>25.7</v>
      </c>
      <c r="BX14" s="36">
        <v>45.8</v>
      </c>
      <c r="BY14" s="36">
        <v>41.4</v>
      </c>
      <c r="BZ14" s="36">
        <v>36.200000000000003</v>
      </c>
      <c r="CA14" s="36">
        <v>44.8</v>
      </c>
      <c r="CB14" s="36">
        <v>36.6</v>
      </c>
      <c r="CC14" s="36">
        <v>45.2</v>
      </c>
      <c r="CD14" s="36">
        <v>36.6</v>
      </c>
      <c r="CE14" s="36">
        <v>25.1</v>
      </c>
      <c r="CF14" s="36">
        <v>24.1</v>
      </c>
      <c r="CG14" s="36">
        <v>45</v>
      </c>
      <c r="CH14" s="36">
        <v>42</v>
      </c>
      <c r="CI14" s="36">
        <v>41.4</v>
      </c>
      <c r="CJ14" s="36">
        <v>42</v>
      </c>
      <c r="CK14" s="36">
        <v>41.4</v>
      </c>
      <c r="CL14" s="13"/>
    </row>
    <row r="15" spans="1:90" ht="28.9" customHeight="1" x14ac:dyDescent="0.25">
      <c r="A15" s="31"/>
      <c r="C15" s="32">
        <v>4</v>
      </c>
      <c r="D15" s="23">
        <v>52.102000000000025</v>
      </c>
      <c r="E15" s="24">
        <v>36.6</v>
      </c>
      <c r="F15" s="25">
        <v>66.900000000000006</v>
      </c>
      <c r="G15" s="33" t="str">
        <f t="shared" si="0"/>
        <v>Moderate</v>
      </c>
      <c r="H15" s="34" t="str">
        <f t="shared" si="1"/>
        <v>High</v>
      </c>
      <c r="I15" s="27"/>
      <c r="J15" s="28"/>
      <c r="K15" s="28"/>
      <c r="L15" s="28"/>
      <c r="M15" s="28"/>
      <c r="N15" s="28"/>
      <c r="O15" s="28"/>
      <c r="P15" s="28"/>
      <c r="Q15" s="28"/>
      <c r="R15" s="28"/>
      <c r="S15" s="13"/>
      <c r="T15" s="35">
        <v>45.5</v>
      </c>
      <c r="U15" s="36">
        <v>36.700000000000003</v>
      </c>
      <c r="V15" s="36">
        <v>45.2</v>
      </c>
      <c r="W15" s="36">
        <v>36.6</v>
      </c>
      <c r="X15" s="36">
        <v>45.2</v>
      </c>
      <c r="Y15" s="36">
        <v>26.7</v>
      </c>
      <c r="Z15" s="36">
        <v>25.1</v>
      </c>
      <c r="AA15" s="36">
        <v>45.5</v>
      </c>
      <c r="AB15" s="36">
        <v>36.700000000000003</v>
      </c>
      <c r="AC15" s="36">
        <v>45.2</v>
      </c>
      <c r="AD15" s="36">
        <v>26.7</v>
      </c>
      <c r="AE15" s="36">
        <v>25.1</v>
      </c>
      <c r="AF15" s="36">
        <v>46.8</v>
      </c>
      <c r="AG15" s="36">
        <v>41.5</v>
      </c>
      <c r="AH15" s="36">
        <v>42</v>
      </c>
      <c r="AI15" s="36">
        <v>41.4</v>
      </c>
      <c r="AJ15" s="36">
        <v>42</v>
      </c>
      <c r="AK15" s="36">
        <v>41.4</v>
      </c>
      <c r="AL15" s="36">
        <v>25.1</v>
      </c>
      <c r="AM15" s="36">
        <v>65.400000000000006</v>
      </c>
      <c r="AN15" s="36">
        <v>64.400000000000006</v>
      </c>
      <c r="AO15" s="36">
        <v>64.3</v>
      </c>
      <c r="AP15" s="36">
        <v>64.3</v>
      </c>
      <c r="AQ15" s="36">
        <v>22.8</v>
      </c>
      <c r="AR15" s="36">
        <v>25.7</v>
      </c>
      <c r="AS15" s="36">
        <v>66.900000000000006</v>
      </c>
      <c r="AT15" s="36">
        <v>64.5</v>
      </c>
      <c r="AU15" s="36">
        <v>64.3</v>
      </c>
      <c r="AV15" s="36">
        <v>64.3</v>
      </c>
      <c r="AW15" s="36">
        <v>64.3</v>
      </c>
      <c r="AX15" s="36">
        <v>64.3</v>
      </c>
      <c r="AY15" s="36">
        <v>64.3</v>
      </c>
      <c r="AZ15" s="36">
        <v>22.8</v>
      </c>
      <c r="BA15" s="36">
        <v>25.7</v>
      </c>
      <c r="BB15" s="36">
        <v>26</v>
      </c>
      <c r="BC15" s="36">
        <v>44.7</v>
      </c>
      <c r="BD15" s="36">
        <v>36.6</v>
      </c>
      <c r="BE15" s="36">
        <v>45.2</v>
      </c>
      <c r="BF15" s="36">
        <v>36.6</v>
      </c>
      <c r="BG15" s="36">
        <v>45.2</v>
      </c>
      <c r="BH15" s="36">
        <v>26.7</v>
      </c>
      <c r="BI15" s="36">
        <v>25.1</v>
      </c>
      <c r="BJ15" s="36">
        <v>45.5</v>
      </c>
      <c r="BK15" s="36">
        <v>36.700000000000003</v>
      </c>
      <c r="BL15" s="36">
        <v>45.2</v>
      </c>
      <c r="BM15" s="36">
        <v>26.7</v>
      </c>
      <c r="BN15" s="36">
        <v>25.1</v>
      </c>
      <c r="BO15" s="36">
        <v>46.8</v>
      </c>
      <c r="BP15" s="36">
        <v>41.5</v>
      </c>
      <c r="BQ15" s="36">
        <v>42</v>
      </c>
      <c r="BR15" s="36">
        <v>41.4</v>
      </c>
      <c r="BS15" s="36">
        <v>42</v>
      </c>
      <c r="BT15" s="36">
        <v>41.4</v>
      </c>
      <c r="BU15" s="36">
        <v>25.1</v>
      </c>
      <c r="BV15" s="36">
        <v>65.400000000000006</v>
      </c>
      <c r="BW15" s="36">
        <v>64.400000000000006</v>
      </c>
      <c r="BX15" s="36">
        <v>64.3</v>
      </c>
      <c r="BY15" s="36">
        <v>64.3</v>
      </c>
      <c r="BZ15" s="36">
        <v>22.8</v>
      </c>
      <c r="CA15" s="36">
        <v>25.7</v>
      </c>
      <c r="CB15" s="36">
        <v>66.900000000000006</v>
      </c>
      <c r="CC15" s="36">
        <v>64.5</v>
      </c>
      <c r="CD15" s="36">
        <v>64.3</v>
      </c>
      <c r="CE15" s="36">
        <v>64.3</v>
      </c>
      <c r="CF15" s="36">
        <v>64.3</v>
      </c>
      <c r="CG15" s="36">
        <v>64.3</v>
      </c>
      <c r="CH15" s="36">
        <v>64.3</v>
      </c>
      <c r="CI15" s="36">
        <v>22.8</v>
      </c>
      <c r="CJ15" s="36">
        <v>25.7</v>
      </c>
      <c r="CK15" s="36">
        <v>26</v>
      </c>
      <c r="CL15" s="13"/>
    </row>
    <row r="16" spans="1:90" ht="28.9" customHeight="1" x14ac:dyDescent="0.25">
      <c r="A16" s="31"/>
      <c r="C16" s="32">
        <v>5</v>
      </c>
      <c r="D16" s="23">
        <v>46.087500000000013</v>
      </c>
      <c r="E16" s="24">
        <v>36.6</v>
      </c>
      <c r="F16" s="25">
        <v>55.9</v>
      </c>
      <c r="G16" s="33" t="str">
        <f t="shared" si="0"/>
        <v>Moderate</v>
      </c>
      <c r="H16" s="34" t="str">
        <f t="shared" si="1"/>
        <v>Moderate</v>
      </c>
      <c r="I16" s="27"/>
      <c r="J16" s="28"/>
      <c r="K16" s="28"/>
      <c r="L16" s="28"/>
      <c r="M16" s="28"/>
      <c r="N16" s="28"/>
      <c r="O16" s="28"/>
      <c r="P16" s="28"/>
      <c r="Q16" s="28"/>
      <c r="R16" s="28"/>
      <c r="S16" s="13"/>
      <c r="T16" s="35">
        <v>50.6</v>
      </c>
      <c r="U16" s="36">
        <v>55.9</v>
      </c>
      <c r="V16" s="36">
        <v>54.8</v>
      </c>
      <c r="W16" s="36">
        <v>29.1</v>
      </c>
      <c r="X16" s="36">
        <v>22.2</v>
      </c>
      <c r="Y16" s="36">
        <v>50.6</v>
      </c>
      <c r="Z16" s="36">
        <v>55.9</v>
      </c>
      <c r="AA16" s="36">
        <v>54.8</v>
      </c>
      <c r="AB16" s="36">
        <v>55.5</v>
      </c>
      <c r="AC16" s="36">
        <v>29.1</v>
      </c>
      <c r="AD16" s="36">
        <v>22.2</v>
      </c>
      <c r="AE16" s="36">
        <v>27.4</v>
      </c>
      <c r="AF16" s="36">
        <v>45.4</v>
      </c>
      <c r="AG16" s="36">
        <v>36.700000000000003</v>
      </c>
      <c r="AH16" s="36">
        <v>45.2</v>
      </c>
      <c r="AI16" s="36">
        <v>36.6</v>
      </c>
      <c r="AJ16" s="36">
        <v>25.1</v>
      </c>
      <c r="AK16" s="36">
        <v>45.5</v>
      </c>
      <c r="AL16" s="36">
        <v>36.700000000000003</v>
      </c>
      <c r="AM16" s="36">
        <v>25.1</v>
      </c>
      <c r="AN16" s="36">
        <v>24.1</v>
      </c>
      <c r="AO16" s="36">
        <v>25.4</v>
      </c>
      <c r="AP16" s="36">
        <v>45.7</v>
      </c>
      <c r="AQ16" s="36">
        <v>41.4</v>
      </c>
      <c r="AR16" s="36">
        <v>42</v>
      </c>
      <c r="AS16" s="36">
        <v>26.2</v>
      </c>
      <c r="AT16" s="36">
        <v>24.6</v>
      </c>
      <c r="AU16" s="36">
        <v>24.1</v>
      </c>
      <c r="AV16" s="36">
        <v>45</v>
      </c>
      <c r="AW16" s="36">
        <v>42</v>
      </c>
      <c r="AX16" s="36">
        <v>26.2</v>
      </c>
      <c r="AY16" s="36">
        <v>24.6</v>
      </c>
      <c r="AZ16" s="36">
        <v>24.1</v>
      </c>
      <c r="BA16" s="36">
        <v>43.9</v>
      </c>
      <c r="BB16" s="36">
        <v>37.4</v>
      </c>
      <c r="BC16" s="36">
        <v>50.9</v>
      </c>
      <c r="BD16" s="36">
        <v>55.9</v>
      </c>
      <c r="BE16" s="36">
        <v>54.8</v>
      </c>
      <c r="BF16" s="36">
        <v>29.1</v>
      </c>
      <c r="BG16" s="36">
        <v>22.2</v>
      </c>
      <c r="BH16" s="36">
        <v>50.6</v>
      </c>
      <c r="BI16" s="36">
        <v>55.9</v>
      </c>
      <c r="BJ16" s="36">
        <v>54.8</v>
      </c>
      <c r="BK16" s="36">
        <v>55.5</v>
      </c>
      <c r="BL16" s="36">
        <v>29.1</v>
      </c>
      <c r="BM16" s="36">
        <v>22.2</v>
      </c>
      <c r="BN16" s="36">
        <v>27.4</v>
      </c>
      <c r="BO16" s="36">
        <v>45.4</v>
      </c>
      <c r="BP16" s="36">
        <v>36.700000000000003</v>
      </c>
      <c r="BQ16" s="36">
        <v>45.2</v>
      </c>
      <c r="BR16" s="36">
        <v>36.6</v>
      </c>
      <c r="BS16" s="36">
        <v>25.1</v>
      </c>
      <c r="BT16" s="36">
        <v>45.5</v>
      </c>
      <c r="BU16" s="36">
        <v>36.700000000000003</v>
      </c>
      <c r="BV16" s="36">
        <v>25.1</v>
      </c>
      <c r="BW16" s="36">
        <v>24.1</v>
      </c>
      <c r="BX16" s="36">
        <v>25.4</v>
      </c>
      <c r="BY16" s="36">
        <v>45.7</v>
      </c>
      <c r="BZ16" s="36">
        <v>41.4</v>
      </c>
      <c r="CA16" s="36">
        <v>42</v>
      </c>
      <c r="CB16" s="36">
        <v>26.2</v>
      </c>
      <c r="CC16" s="36">
        <v>24.6</v>
      </c>
      <c r="CD16" s="36">
        <v>24.1</v>
      </c>
      <c r="CE16" s="36">
        <v>45</v>
      </c>
      <c r="CF16" s="36">
        <v>42</v>
      </c>
      <c r="CG16" s="36">
        <v>26.2</v>
      </c>
      <c r="CH16" s="36">
        <v>24.6</v>
      </c>
      <c r="CI16" s="36">
        <v>24.1</v>
      </c>
      <c r="CJ16" s="36">
        <v>43.9</v>
      </c>
      <c r="CK16" s="36">
        <v>37.4</v>
      </c>
      <c r="CL16" s="13"/>
    </row>
    <row r="17" spans="1:90" ht="28.9" customHeight="1" x14ac:dyDescent="0.25">
      <c r="A17" s="31"/>
      <c r="C17" s="32">
        <v>6</v>
      </c>
      <c r="D17" s="23">
        <v>49.510000000000005</v>
      </c>
      <c r="E17" s="24">
        <v>36.200000000000003</v>
      </c>
      <c r="F17" s="25">
        <v>67.599999999999994</v>
      </c>
      <c r="G17" s="33" t="str">
        <f t="shared" si="0"/>
        <v>Moderate</v>
      </c>
      <c r="H17" s="34" t="str">
        <f t="shared" si="1"/>
        <v>High</v>
      </c>
      <c r="I17" s="27"/>
      <c r="J17" s="28"/>
      <c r="K17" s="28"/>
      <c r="L17" s="28"/>
      <c r="M17" s="28"/>
      <c r="N17" s="28"/>
      <c r="O17" s="28"/>
      <c r="P17" s="28"/>
      <c r="Q17" s="28"/>
      <c r="R17" s="28"/>
      <c r="S17" s="13"/>
      <c r="T17" s="35">
        <v>67.599999999999994</v>
      </c>
      <c r="U17" s="36">
        <v>65.099999999999994</v>
      </c>
      <c r="V17" s="36">
        <v>22.8</v>
      </c>
      <c r="W17" s="36">
        <v>28.2</v>
      </c>
      <c r="X17" s="36">
        <v>23</v>
      </c>
      <c r="Y17" s="36">
        <v>44.3</v>
      </c>
      <c r="Z17" s="36">
        <v>40.700000000000003</v>
      </c>
      <c r="AA17" s="36">
        <v>40.700000000000003</v>
      </c>
      <c r="AB17" s="36">
        <v>40.700000000000003</v>
      </c>
      <c r="AC17" s="36">
        <v>40.700000000000003</v>
      </c>
      <c r="AD17" s="36">
        <v>40.700000000000003</v>
      </c>
      <c r="AE17" s="36">
        <v>40.700000000000003</v>
      </c>
      <c r="AF17" s="36">
        <v>30.1</v>
      </c>
      <c r="AG17" s="36">
        <v>21.8</v>
      </c>
      <c r="AH17" s="36">
        <v>27.4</v>
      </c>
      <c r="AI17" s="36">
        <v>24.1</v>
      </c>
      <c r="AJ17" s="36">
        <v>25.4</v>
      </c>
      <c r="AK17" s="36">
        <v>25.7</v>
      </c>
      <c r="AL17" s="36">
        <v>26</v>
      </c>
      <c r="AM17" s="36">
        <v>44.7</v>
      </c>
      <c r="AN17" s="36">
        <v>36.6</v>
      </c>
      <c r="AO17" s="36">
        <v>45.2</v>
      </c>
      <c r="AP17" s="36">
        <v>36.6</v>
      </c>
      <c r="AQ17" s="36">
        <v>66.2</v>
      </c>
      <c r="AR17" s="36">
        <v>64.400000000000006</v>
      </c>
      <c r="AS17" s="36">
        <v>22.8</v>
      </c>
      <c r="AT17" s="36">
        <v>25.7</v>
      </c>
      <c r="AU17" s="36">
        <v>26</v>
      </c>
      <c r="AV17" s="36">
        <v>44.7</v>
      </c>
      <c r="AW17" s="36">
        <v>36.6</v>
      </c>
      <c r="AX17" s="36">
        <v>25.1</v>
      </c>
      <c r="AY17" s="36">
        <v>24.1</v>
      </c>
      <c r="AZ17" s="36">
        <v>66.400000000000006</v>
      </c>
      <c r="BA17" s="36">
        <v>64.400000000000006</v>
      </c>
      <c r="BB17" s="36">
        <v>64.3</v>
      </c>
      <c r="BC17" s="36">
        <v>64.3</v>
      </c>
      <c r="BD17" s="36">
        <v>64.3</v>
      </c>
      <c r="BE17" s="36">
        <v>22.8</v>
      </c>
      <c r="BF17" s="36">
        <v>25.7</v>
      </c>
      <c r="BG17" s="36">
        <v>26</v>
      </c>
      <c r="BH17" s="36">
        <v>45.9</v>
      </c>
      <c r="BI17" s="36">
        <v>41.4</v>
      </c>
      <c r="BJ17" s="36">
        <v>42</v>
      </c>
      <c r="BK17" s="36">
        <v>41.4</v>
      </c>
      <c r="BL17" s="36">
        <v>42</v>
      </c>
      <c r="BM17" s="36">
        <v>41.4</v>
      </c>
      <c r="BN17" s="36">
        <v>42</v>
      </c>
      <c r="BO17" s="36">
        <v>26.2</v>
      </c>
      <c r="BP17" s="36">
        <v>24.6</v>
      </c>
      <c r="BQ17" s="36">
        <v>24.1</v>
      </c>
      <c r="BR17" s="36">
        <v>25.4</v>
      </c>
      <c r="BS17" s="36">
        <v>25.7</v>
      </c>
      <c r="BT17" s="36">
        <v>26</v>
      </c>
      <c r="BU17" s="36">
        <v>24.6</v>
      </c>
      <c r="BV17" s="36">
        <v>44</v>
      </c>
      <c r="BW17" s="36">
        <v>37.4</v>
      </c>
      <c r="BX17" s="36">
        <v>36.6</v>
      </c>
      <c r="BY17" s="36">
        <v>45.2</v>
      </c>
      <c r="BZ17" s="36">
        <v>61.5</v>
      </c>
      <c r="CA17" s="36">
        <v>65.099999999999994</v>
      </c>
      <c r="CB17" s="36">
        <v>22.8</v>
      </c>
      <c r="CC17" s="36">
        <v>28.2</v>
      </c>
      <c r="CD17" s="36">
        <v>23</v>
      </c>
      <c r="CE17" s="36">
        <v>43.3</v>
      </c>
      <c r="CF17" s="36">
        <v>36.200000000000003</v>
      </c>
      <c r="CG17" s="36">
        <v>24.6</v>
      </c>
      <c r="CH17" s="36">
        <v>24.1</v>
      </c>
      <c r="CI17" s="36">
        <v>66.400000000000006</v>
      </c>
      <c r="CJ17" s="36">
        <v>64.400000000000006</v>
      </c>
      <c r="CK17" s="36">
        <v>64.3</v>
      </c>
      <c r="CL17" s="13"/>
    </row>
    <row r="18" spans="1:90" ht="28.9" customHeight="1" x14ac:dyDescent="0.25">
      <c r="A18" s="31"/>
      <c r="C18" s="32">
        <v>7</v>
      </c>
      <c r="D18" s="23">
        <v>44.536666666666669</v>
      </c>
      <c r="E18" s="24">
        <v>36.6</v>
      </c>
      <c r="F18" s="25">
        <v>55.8</v>
      </c>
      <c r="G18" s="33" t="str">
        <f t="shared" si="0"/>
        <v>Low</v>
      </c>
      <c r="H18" s="34" t="str">
        <f t="shared" si="1"/>
        <v>Moderate</v>
      </c>
      <c r="I18" s="27"/>
      <c r="J18" s="28"/>
      <c r="K18" s="28"/>
      <c r="L18" s="28"/>
      <c r="M18" s="28"/>
      <c r="N18" s="28"/>
      <c r="O18" s="28"/>
      <c r="P18" s="28"/>
      <c r="Q18" s="28"/>
      <c r="R18" s="28"/>
      <c r="S18" s="13"/>
      <c r="T18" s="35">
        <v>29.9</v>
      </c>
      <c r="U18" s="36">
        <v>21.1</v>
      </c>
      <c r="V18" s="36">
        <v>27</v>
      </c>
      <c r="W18" s="36">
        <v>25.1</v>
      </c>
      <c r="X18" s="36">
        <v>25.7</v>
      </c>
      <c r="Y18" s="36">
        <v>44.7</v>
      </c>
      <c r="Z18" s="36">
        <v>36.6</v>
      </c>
      <c r="AA18" s="36">
        <v>46.4</v>
      </c>
      <c r="AB18" s="36">
        <v>41.5</v>
      </c>
      <c r="AC18" s="36">
        <v>25.1</v>
      </c>
      <c r="AD18" s="36">
        <v>24.1</v>
      </c>
      <c r="AE18" s="36">
        <v>25.4</v>
      </c>
      <c r="AF18" s="36">
        <v>25.7</v>
      </c>
      <c r="AG18" s="36">
        <v>26</v>
      </c>
      <c r="AH18" s="36">
        <v>47.4</v>
      </c>
      <c r="AI18" s="36">
        <v>52.2</v>
      </c>
      <c r="AJ18" s="36">
        <v>55.3</v>
      </c>
      <c r="AK18" s="36">
        <v>55.5</v>
      </c>
      <c r="AL18" s="36">
        <v>29.1</v>
      </c>
      <c r="AM18" s="36">
        <v>22.2</v>
      </c>
      <c r="AN18" s="36">
        <v>27.4</v>
      </c>
      <c r="AO18" s="36">
        <v>24.1</v>
      </c>
      <c r="AP18" s="36">
        <v>25.4</v>
      </c>
      <c r="AQ18" s="36">
        <v>25.7</v>
      </c>
      <c r="AR18" s="36">
        <v>26</v>
      </c>
      <c r="AS18" s="36">
        <v>45.9</v>
      </c>
      <c r="AT18" s="36">
        <v>41.4</v>
      </c>
      <c r="AU18" s="36">
        <v>42</v>
      </c>
      <c r="AV18" s="36">
        <v>26.2</v>
      </c>
      <c r="AW18" s="36">
        <v>24.6</v>
      </c>
      <c r="AX18" s="36">
        <v>45.4</v>
      </c>
      <c r="AY18" s="36">
        <v>36.700000000000003</v>
      </c>
      <c r="AZ18" s="36">
        <v>45.2</v>
      </c>
      <c r="BA18" s="36">
        <v>26.7</v>
      </c>
      <c r="BB18" s="36">
        <v>25.1</v>
      </c>
      <c r="BC18" s="36">
        <v>24.1</v>
      </c>
      <c r="BD18" s="36">
        <v>45</v>
      </c>
      <c r="BE18" s="36">
        <v>42</v>
      </c>
      <c r="BF18" s="36">
        <v>26.2</v>
      </c>
      <c r="BG18" s="36">
        <v>24.6</v>
      </c>
      <c r="BH18" s="36">
        <v>24.1</v>
      </c>
      <c r="BI18" s="36">
        <v>25.4</v>
      </c>
      <c r="BJ18" s="36">
        <v>25.7</v>
      </c>
      <c r="BK18" s="36">
        <v>26</v>
      </c>
      <c r="BL18" s="36">
        <v>24.6</v>
      </c>
      <c r="BM18" s="36">
        <v>44</v>
      </c>
      <c r="BN18" s="36">
        <v>37.4</v>
      </c>
      <c r="BO18" s="36">
        <v>36.6</v>
      </c>
      <c r="BP18" s="36">
        <v>45.2</v>
      </c>
      <c r="BQ18" s="36">
        <v>26.7</v>
      </c>
      <c r="BR18" s="36">
        <v>25.1</v>
      </c>
      <c r="BS18" s="36">
        <v>24.1</v>
      </c>
      <c r="BT18" s="36">
        <v>25.4</v>
      </c>
      <c r="BU18" s="36">
        <v>44.6</v>
      </c>
      <c r="BV18" s="36">
        <v>36.6</v>
      </c>
      <c r="BW18" s="36">
        <v>45.2</v>
      </c>
      <c r="BX18" s="36">
        <v>26.7</v>
      </c>
      <c r="BY18" s="36">
        <v>25.1</v>
      </c>
      <c r="BZ18" s="36">
        <v>46.8</v>
      </c>
      <c r="CA18" s="36">
        <v>41.5</v>
      </c>
      <c r="CB18" s="36">
        <v>42</v>
      </c>
      <c r="CC18" s="36">
        <v>26.2</v>
      </c>
      <c r="CD18" s="36">
        <v>24.6</v>
      </c>
      <c r="CE18" s="36">
        <v>46.7</v>
      </c>
      <c r="CF18" s="36">
        <v>41.5</v>
      </c>
      <c r="CG18" s="36">
        <v>25.1</v>
      </c>
      <c r="CH18" s="36">
        <v>24.1</v>
      </c>
      <c r="CI18" s="36">
        <v>25.4</v>
      </c>
      <c r="CJ18" s="36">
        <v>49</v>
      </c>
      <c r="CK18" s="36">
        <v>55.8</v>
      </c>
      <c r="CL18" s="13"/>
    </row>
    <row r="19" spans="1:90" ht="28.9" customHeight="1" x14ac:dyDescent="0.25">
      <c r="A19" s="31"/>
      <c r="C19" s="32">
        <v>8</v>
      </c>
      <c r="D19" s="23">
        <v>44.486666666666679</v>
      </c>
      <c r="E19" s="24">
        <v>36.6</v>
      </c>
      <c r="F19" s="25">
        <v>55.9</v>
      </c>
      <c r="G19" s="33" t="str">
        <f t="shared" si="0"/>
        <v>Low</v>
      </c>
      <c r="H19" s="34" t="str">
        <f t="shared" si="1"/>
        <v>Moderate</v>
      </c>
      <c r="I19" s="27"/>
      <c r="J19" s="28"/>
      <c r="K19" s="28"/>
      <c r="L19" s="28"/>
      <c r="M19" s="28"/>
      <c r="N19" s="28"/>
      <c r="O19" s="28"/>
      <c r="P19" s="28"/>
      <c r="Q19" s="28"/>
      <c r="R19" s="28"/>
      <c r="S19" s="13"/>
      <c r="T19" s="35">
        <v>26.2</v>
      </c>
      <c r="U19" s="36">
        <v>45.9</v>
      </c>
      <c r="V19" s="36">
        <v>41.4</v>
      </c>
      <c r="W19" s="36">
        <v>42</v>
      </c>
      <c r="X19" s="36">
        <v>41.4</v>
      </c>
      <c r="Y19" s="36">
        <v>25.1</v>
      </c>
      <c r="Z19" s="36">
        <v>24.1</v>
      </c>
      <c r="AA19" s="36">
        <v>25.4</v>
      </c>
      <c r="AB19" s="36">
        <v>25.7</v>
      </c>
      <c r="AC19" s="36">
        <v>26</v>
      </c>
      <c r="AD19" s="36">
        <v>44.7</v>
      </c>
      <c r="AE19" s="36">
        <v>36.6</v>
      </c>
      <c r="AF19" s="36">
        <v>45.2</v>
      </c>
      <c r="AG19" s="36">
        <v>36.6</v>
      </c>
      <c r="AH19" s="36">
        <v>25.1</v>
      </c>
      <c r="AI19" s="36">
        <v>24.1</v>
      </c>
      <c r="AJ19" s="36">
        <v>25.4</v>
      </c>
      <c r="AK19" s="36">
        <v>25.7</v>
      </c>
      <c r="AL19" s="36">
        <v>44.7</v>
      </c>
      <c r="AM19" s="36">
        <v>36.6</v>
      </c>
      <c r="AN19" s="36">
        <v>45.2</v>
      </c>
      <c r="AO19" s="36">
        <v>26.7</v>
      </c>
      <c r="AP19" s="36">
        <v>25.1</v>
      </c>
      <c r="AQ19" s="36">
        <v>46.8</v>
      </c>
      <c r="AR19" s="36">
        <v>41.5</v>
      </c>
      <c r="AS19" s="36">
        <v>42</v>
      </c>
      <c r="AT19" s="36">
        <v>26.2</v>
      </c>
      <c r="AU19" s="36">
        <v>24.6</v>
      </c>
      <c r="AV19" s="36">
        <v>24.1</v>
      </c>
      <c r="AW19" s="36">
        <v>25.4</v>
      </c>
      <c r="AX19" s="36">
        <v>25.7</v>
      </c>
      <c r="AY19" s="36">
        <v>26</v>
      </c>
      <c r="AZ19" s="36">
        <v>24.6</v>
      </c>
      <c r="BA19" s="36">
        <v>50.5</v>
      </c>
      <c r="BB19" s="36">
        <v>55.9</v>
      </c>
      <c r="BC19" s="36">
        <v>28.2</v>
      </c>
      <c r="BD19" s="36">
        <v>23</v>
      </c>
      <c r="BE19" s="36">
        <v>28.3</v>
      </c>
      <c r="BF19" s="36">
        <v>23</v>
      </c>
      <c r="BG19" s="36">
        <v>28.3</v>
      </c>
      <c r="BH19" s="36">
        <v>46</v>
      </c>
      <c r="BI19" s="36">
        <v>36.700000000000003</v>
      </c>
      <c r="BJ19" s="36">
        <v>46.4</v>
      </c>
      <c r="BK19" s="36">
        <v>41.5</v>
      </c>
      <c r="BL19" s="36">
        <v>25.1</v>
      </c>
      <c r="BM19" s="36">
        <v>24.1</v>
      </c>
      <c r="BN19" s="36">
        <v>25.4</v>
      </c>
      <c r="BO19" s="36">
        <v>25.7</v>
      </c>
      <c r="BP19" s="36">
        <v>26</v>
      </c>
      <c r="BQ19" s="36">
        <v>47.4</v>
      </c>
      <c r="BR19" s="36">
        <v>52.2</v>
      </c>
      <c r="BS19" s="36">
        <v>55.3</v>
      </c>
      <c r="BT19" s="36">
        <v>55.5</v>
      </c>
      <c r="BU19" s="36">
        <v>29.1</v>
      </c>
      <c r="BV19" s="36">
        <v>22.2</v>
      </c>
      <c r="BW19" s="36">
        <v>27.4</v>
      </c>
      <c r="BX19" s="36">
        <v>24.1</v>
      </c>
      <c r="BY19" s="36">
        <v>25.4</v>
      </c>
      <c r="BZ19" s="36">
        <v>25.7</v>
      </c>
      <c r="CA19" s="36">
        <v>26</v>
      </c>
      <c r="CB19" s="36">
        <v>45.9</v>
      </c>
      <c r="CC19" s="36">
        <v>41.4</v>
      </c>
      <c r="CD19" s="36">
        <v>42</v>
      </c>
      <c r="CE19" s="36">
        <v>26.2</v>
      </c>
      <c r="CF19" s="36">
        <v>24.6</v>
      </c>
      <c r="CG19" s="36">
        <v>45.4</v>
      </c>
      <c r="CH19" s="36">
        <v>36.700000000000003</v>
      </c>
      <c r="CI19" s="36">
        <v>45.2</v>
      </c>
      <c r="CJ19" s="36">
        <v>26.7</v>
      </c>
      <c r="CK19" s="36">
        <v>25.1</v>
      </c>
      <c r="CL19" s="13"/>
    </row>
    <row r="20" spans="1:90" ht="28.9" customHeight="1" x14ac:dyDescent="0.25">
      <c r="A20" s="31"/>
      <c r="C20" s="32">
        <v>9</v>
      </c>
      <c r="D20" s="23">
        <v>49.230000000000011</v>
      </c>
      <c r="E20" s="24">
        <v>36.700000000000003</v>
      </c>
      <c r="F20" s="25">
        <v>65.8</v>
      </c>
      <c r="G20" s="33" t="str">
        <f t="shared" si="0"/>
        <v>Moderate</v>
      </c>
      <c r="H20" s="34" t="str">
        <f t="shared" si="1"/>
        <v>High</v>
      </c>
      <c r="I20" s="27"/>
      <c r="J20" s="28"/>
      <c r="K20" s="28"/>
      <c r="L20" s="28"/>
      <c r="M20" s="28"/>
      <c r="N20" s="28"/>
      <c r="O20" s="28"/>
      <c r="P20" s="28"/>
      <c r="Q20" s="28"/>
      <c r="R20" s="28"/>
      <c r="S20" s="13"/>
      <c r="T20" s="35">
        <v>23.8</v>
      </c>
      <c r="U20" s="36">
        <v>24.7</v>
      </c>
      <c r="V20" s="36">
        <v>65.400000000000006</v>
      </c>
      <c r="W20" s="36">
        <v>64.400000000000006</v>
      </c>
      <c r="X20" s="36">
        <v>64.3</v>
      </c>
      <c r="Y20" s="36">
        <v>22.8</v>
      </c>
      <c r="Z20" s="36">
        <v>25.7</v>
      </c>
      <c r="AA20" s="36">
        <v>26</v>
      </c>
      <c r="AB20" s="36">
        <v>24.6</v>
      </c>
      <c r="AC20" s="36">
        <v>45.1</v>
      </c>
      <c r="AD20" s="36">
        <v>42</v>
      </c>
      <c r="AE20" s="36">
        <v>41.4</v>
      </c>
      <c r="AF20" s="36">
        <v>25.1</v>
      </c>
      <c r="AG20" s="36">
        <v>24.1</v>
      </c>
      <c r="AH20" s="36">
        <v>43.9</v>
      </c>
      <c r="AI20" s="36">
        <v>37.4</v>
      </c>
      <c r="AJ20" s="36">
        <v>26.7</v>
      </c>
      <c r="AK20" s="36">
        <v>25.1</v>
      </c>
      <c r="AL20" s="36">
        <v>46.8</v>
      </c>
      <c r="AM20" s="36">
        <v>41.5</v>
      </c>
      <c r="AN20" s="36">
        <v>42</v>
      </c>
      <c r="AO20" s="36">
        <v>26.2</v>
      </c>
      <c r="AP20" s="36">
        <v>24.6</v>
      </c>
      <c r="AQ20" s="36">
        <v>24.1</v>
      </c>
      <c r="AR20" s="36">
        <v>25.4</v>
      </c>
      <c r="AS20" s="36">
        <v>25.7</v>
      </c>
      <c r="AT20" s="36">
        <v>45.8</v>
      </c>
      <c r="AU20" s="36">
        <v>41.4</v>
      </c>
      <c r="AV20" s="36">
        <v>42</v>
      </c>
      <c r="AW20" s="36">
        <v>26.2</v>
      </c>
      <c r="AX20" s="36">
        <v>24.6</v>
      </c>
      <c r="AY20" s="36">
        <v>24.1</v>
      </c>
      <c r="AZ20" s="36">
        <v>45</v>
      </c>
      <c r="BA20" s="36">
        <v>42</v>
      </c>
      <c r="BB20" s="36">
        <v>41.4</v>
      </c>
      <c r="BC20" s="36">
        <v>25.1</v>
      </c>
      <c r="BD20" s="36">
        <v>24.1</v>
      </c>
      <c r="BE20" s="36">
        <v>25.4</v>
      </c>
      <c r="BF20" s="36">
        <v>25.7</v>
      </c>
      <c r="BG20" s="36">
        <v>26</v>
      </c>
      <c r="BH20" s="36">
        <v>65.8</v>
      </c>
      <c r="BI20" s="36">
        <v>64.400000000000006</v>
      </c>
      <c r="BJ20" s="36">
        <v>64.3</v>
      </c>
      <c r="BK20" s="36">
        <v>64.3</v>
      </c>
      <c r="BL20" s="36">
        <v>22.8</v>
      </c>
      <c r="BM20" s="36">
        <v>25.7</v>
      </c>
      <c r="BN20" s="36">
        <v>26</v>
      </c>
      <c r="BO20" s="36">
        <v>24.6</v>
      </c>
      <c r="BP20" s="36">
        <v>27.4</v>
      </c>
      <c r="BQ20" s="36">
        <v>65.400000000000006</v>
      </c>
      <c r="BR20" s="36">
        <v>64.400000000000006</v>
      </c>
      <c r="BS20" s="36">
        <v>22.8</v>
      </c>
      <c r="BT20" s="36">
        <v>25.7</v>
      </c>
      <c r="BU20" s="36">
        <v>26</v>
      </c>
      <c r="BV20" s="36">
        <v>24.6</v>
      </c>
      <c r="BW20" s="36">
        <v>27.4</v>
      </c>
      <c r="BX20" s="36">
        <v>45.4</v>
      </c>
      <c r="BY20" s="36">
        <v>36.700000000000003</v>
      </c>
      <c r="BZ20" s="36">
        <v>45.2</v>
      </c>
      <c r="CA20" s="36">
        <v>26.7</v>
      </c>
      <c r="CB20" s="36">
        <v>25.1</v>
      </c>
      <c r="CC20" s="36">
        <v>45.5</v>
      </c>
      <c r="CD20" s="36">
        <v>36.700000000000003</v>
      </c>
      <c r="CE20" s="36">
        <v>25.1</v>
      </c>
      <c r="CF20" s="36">
        <v>24.1</v>
      </c>
      <c r="CG20" s="36">
        <v>45</v>
      </c>
      <c r="CH20" s="36">
        <v>42</v>
      </c>
      <c r="CI20" s="36">
        <v>26.2</v>
      </c>
      <c r="CJ20" s="36">
        <v>24.6</v>
      </c>
      <c r="CK20" s="36">
        <v>24.1</v>
      </c>
      <c r="CL20" s="13"/>
    </row>
    <row r="21" spans="1:90" ht="28.9" customHeight="1" x14ac:dyDescent="0.25">
      <c r="A21" s="31"/>
      <c r="C21" s="32">
        <v>10</v>
      </c>
      <c r="D21" s="23">
        <v>49.06333333333334</v>
      </c>
      <c r="E21" s="24">
        <v>36.6</v>
      </c>
      <c r="F21" s="25">
        <v>66.900000000000006</v>
      </c>
      <c r="G21" s="33" t="str">
        <f t="shared" si="0"/>
        <v>Moderate</v>
      </c>
      <c r="H21" s="34" t="str">
        <f t="shared" si="1"/>
        <v>High</v>
      </c>
      <c r="I21" s="27"/>
      <c r="J21" s="28"/>
      <c r="K21" s="28"/>
      <c r="L21" s="28"/>
      <c r="M21" s="28"/>
      <c r="N21" s="28"/>
      <c r="O21" s="28"/>
      <c r="P21" s="28"/>
      <c r="Q21" s="28"/>
      <c r="R21" s="28"/>
      <c r="S21" s="13"/>
      <c r="T21" s="35">
        <v>23.8</v>
      </c>
      <c r="U21" s="36">
        <v>24.7</v>
      </c>
      <c r="V21" s="36">
        <v>24.1</v>
      </c>
      <c r="W21" s="36">
        <v>25.4</v>
      </c>
      <c r="X21" s="36">
        <v>25.7</v>
      </c>
      <c r="Y21" s="36">
        <v>66.900000000000006</v>
      </c>
      <c r="Z21" s="36">
        <v>64.5</v>
      </c>
      <c r="AA21" s="36">
        <v>64.3</v>
      </c>
      <c r="AB21" s="36">
        <v>64.3</v>
      </c>
      <c r="AC21" s="36">
        <v>22.8</v>
      </c>
      <c r="AD21" s="36">
        <v>25.7</v>
      </c>
      <c r="AE21" s="36">
        <v>26</v>
      </c>
      <c r="AF21" s="36">
        <v>24.6</v>
      </c>
      <c r="AG21" s="36">
        <v>27.4</v>
      </c>
      <c r="AH21" s="36">
        <v>65.400000000000006</v>
      </c>
      <c r="AI21" s="36">
        <v>64.400000000000006</v>
      </c>
      <c r="AJ21" s="36">
        <v>22.8</v>
      </c>
      <c r="AK21" s="36">
        <v>25.7</v>
      </c>
      <c r="AL21" s="36">
        <v>26</v>
      </c>
      <c r="AM21" s="36">
        <v>24.6</v>
      </c>
      <c r="AN21" s="36">
        <v>27.4</v>
      </c>
      <c r="AO21" s="36">
        <v>45.4</v>
      </c>
      <c r="AP21" s="36">
        <v>36.700000000000003</v>
      </c>
      <c r="AQ21" s="36">
        <v>45.2</v>
      </c>
      <c r="AR21" s="36">
        <v>26.7</v>
      </c>
      <c r="AS21" s="36">
        <v>25.1</v>
      </c>
      <c r="AT21" s="36">
        <v>45.5</v>
      </c>
      <c r="AU21" s="36">
        <v>36.700000000000003</v>
      </c>
      <c r="AV21" s="36">
        <v>25.1</v>
      </c>
      <c r="AW21" s="36">
        <v>46.8</v>
      </c>
      <c r="AX21" s="36">
        <v>41.5</v>
      </c>
      <c r="AY21" s="36">
        <v>42</v>
      </c>
      <c r="AZ21" s="36">
        <v>26.2</v>
      </c>
      <c r="BA21" s="36">
        <v>24.6</v>
      </c>
      <c r="BB21" s="36">
        <v>24.1</v>
      </c>
      <c r="BC21" s="36">
        <v>25.4</v>
      </c>
      <c r="BD21" s="36">
        <v>25.7</v>
      </c>
      <c r="BE21" s="36">
        <v>66.900000000000006</v>
      </c>
      <c r="BF21" s="36">
        <v>64.5</v>
      </c>
      <c r="BG21" s="36">
        <v>64.3</v>
      </c>
      <c r="BH21" s="36">
        <v>22.8</v>
      </c>
      <c r="BI21" s="36">
        <v>25.7</v>
      </c>
      <c r="BJ21" s="36">
        <v>26</v>
      </c>
      <c r="BK21" s="36">
        <v>24.6</v>
      </c>
      <c r="BL21" s="36">
        <v>45.1</v>
      </c>
      <c r="BM21" s="36">
        <v>42</v>
      </c>
      <c r="BN21" s="36">
        <v>41.4</v>
      </c>
      <c r="BO21" s="36">
        <v>25.1</v>
      </c>
      <c r="BP21" s="36">
        <v>24.1</v>
      </c>
      <c r="BQ21" s="36">
        <v>43.9</v>
      </c>
      <c r="BR21" s="36">
        <v>37.4</v>
      </c>
      <c r="BS21" s="36">
        <v>26.7</v>
      </c>
      <c r="BT21" s="36">
        <v>25.1</v>
      </c>
      <c r="BU21" s="36">
        <v>46.8</v>
      </c>
      <c r="BV21" s="36">
        <v>41.5</v>
      </c>
      <c r="BW21" s="36">
        <v>42</v>
      </c>
      <c r="BX21" s="36">
        <v>26.2</v>
      </c>
      <c r="BY21" s="36">
        <v>24.6</v>
      </c>
      <c r="BZ21" s="36">
        <v>24.1</v>
      </c>
      <c r="CA21" s="36">
        <v>25.4</v>
      </c>
      <c r="CB21" s="36">
        <v>25.7</v>
      </c>
      <c r="CC21" s="36">
        <v>45.8</v>
      </c>
      <c r="CD21" s="36">
        <v>41.4</v>
      </c>
      <c r="CE21" s="36">
        <v>25.1</v>
      </c>
      <c r="CF21" s="36">
        <v>24.1</v>
      </c>
      <c r="CG21" s="36">
        <v>25.4</v>
      </c>
      <c r="CH21" s="36">
        <v>25.7</v>
      </c>
      <c r="CI21" s="36">
        <v>45.8</v>
      </c>
      <c r="CJ21" s="36">
        <v>36.9</v>
      </c>
      <c r="CK21" s="36">
        <v>36.6</v>
      </c>
      <c r="CL21" s="13"/>
    </row>
    <row r="22" spans="1:90" ht="28.9" customHeight="1" thickBot="1" x14ac:dyDescent="0.3">
      <c r="A22" s="31"/>
      <c r="C22" s="32">
        <v>11</v>
      </c>
      <c r="D22" s="23">
        <v>44.33</v>
      </c>
      <c r="E22" s="24">
        <v>36.6</v>
      </c>
      <c r="F22" s="25">
        <v>55.8</v>
      </c>
      <c r="G22" s="33" t="str">
        <f t="shared" si="0"/>
        <v>Low</v>
      </c>
      <c r="H22" s="34" t="str">
        <f t="shared" si="1"/>
        <v>Moderate</v>
      </c>
      <c r="I22" s="27"/>
      <c r="J22" s="28"/>
      <c r="K22" s="28"/>
      <c r="L22" s="28"/>
      <c r="M22" s="28"/>
      <c r="N22" s="28"/>
      <c r="O22" s="28"/>
      <c r="P22" s="28"/>
      <c r="Q22" s="28"/>
      <c r="R22" s="28"/>
      <c r="S22" s="13"/>
      <c r="T22" s="35">
        <v>25</v>
      </c>
      <c r="U22" s="36">
        <v>24.1</v>
      </c>
      <c r="V22" s="36">
        <v>43.9</v>
      </c>
      <c r="W22" s="36">
        <v>37.4</v>
      </c>
      <c r="X22" s="36">
        <v>26.7</v>
      </c>
      <c r="Y22" s="36">
        <v>25.1</v>
      </c>
      <c r="Z22" s="36">
        <v>24.1</v>
      </c>
      <c r="AA22" s="36">
        <v>25.4</v>
      </c>
      <c r="AB22" s="36">
        <v>25.7</v>
      </c>
      <c r="AC22" s="36">
        <v>26</v>
      </c>
      <c r="AD22" s="36">
        <v>24.6</v>
      </c>
      <c r="AE22" s="36">
        <v>27.4</v>
      </c>
      <c r="AF22" s="36">
        <v>46.6</v>
      </c>
      <c r="AG22" s="36">
        <v>41.5</v>
      </c>
      <c r="AH22" s="36">
        <v>25.1</v>
      </c>
      <c r="AI22" s="36">
        <v>24.1</v>
      </c>
      <c r="AJ22" s="36">
        <v>43.9</v>
      </c>
      <c r="AK22" s="36">
        <v>23.8</v>
      </c>
      <c r="AL22" s="36">
        <v>24.7</v>
      </c>
      <c r="AM22" s="36">
        <v>24.1</v>
      </c>
      <c r="AN22" s="36">
        <v>25.4</v>
      </c>
      <c r="AO22" s="36">
        <v>49</v>
      </c>
      <c r="AP22" s="36">
        <v>55.8</v>
      </c>
      <c r="AQ22" s="36">
        <v>29.1</v>
      </c>
      <c r="AR22" s="36">
        <v>22.2</v>
      </c>
      <c r="AS22" s="36">
        <v>27.4</v>
      </c>
      <c r="AT22" s="36">
        <v>45.4</v>
      </c>
      <c r="AU22" s="36">
        <v>36.700000000000003</v>
      </c>
      <c r="AV22" s="36">
        <v>25.1</v>
      </c>
      <c r="AW22" s="36">
        <v>24.1</v>
      </c>
      <c r="AX22" s="36">
        <v>25.4</v>
      </c>
      <c r="AY22" s="36">
        <v>25.7</v>
      </c>
      <c r="AZ22" s="36">
        <v>26</v>
      </c>
      <c r="BA22" s="36">
        <v>44.7</v>
      </c>
      <c r="BB22" s="36">
        <v>36.6</v>
      </c>
      <c r="BC22" s="36">
        <v>25.1</v>
      </c>
      <c r="BD22" s="36">
        <v>24.1</v>
      </c>
      <c r="BE22" s="36">
        <v>25.4</v>
      </c>
      <c r="BF22" s="36">
        <v>45.7</v>
      </c>
      <c r="BG22" s="36">
        <v>41.4</v>
      </c>
      <c r="BH22" s="36">
        <v>25.1</v>
      </c>
      <c r="BI22" s="36">
        <v>24.1</v>
      </c>
      <c r="BJ22" s="36">
        <v>25.4</v>
      </c>
      <c r="BK22" s="36">
        <v>25.7</v>
      </c>
      <c r="BL22" s="36">
        <v>26</v>
      </c>
      <c r="BM22" s="36">
        <v>24.6</v>
      </c>
      <c r="BN22" s="36">
        <v>27.4</v>
      </c>
      <c r="BO22" s="36">
        <v>46.6</v>
      </c>
      <c r="BP22" s="36">
        <v>41.5</v>
      </c>
      <c r="BQ22" s="36">
        <v>25.1</v>
      </c>
      <c r="BR22" s="36">
        <v>24.1</v>
      </c>
      <c r="BS22" s="36">
        <v>43.9</v>
      </c>
      <c r="BT22" s="36">
        <v>23.8</v>
      </c>
      <c r="BU22" s="36">
        <v>24.7</v>
      </c>
      <c r="BV22" s="36">
        <v>24.1</v>
      </c>
      <c r="BW22" s="36">
        <v>25.4</v>
      </c>
      <c r="BX22" s="36">
        <v>49</v>
      </c>
      <c r="BY22" s="36">
        <v>55.8</v>
      </c>
      <c r="BZ22" s="36">
        <v>29.1</v>
      </c>
      <c r="CA22" s="36">
        <v>22.2</v>
      </c>
      <c r="CB22" s="36">
        <v>27.4</v>
      </c>
      <c r="CC22" s="36">
        <v>24.1</v>
      </c>
      <c r="CD22" s="36">
        <v>25.4</v>
      </c>
      <c r="CE22" s="36">
        <v>44.6</v>
      </c>
      <c r="CF22" s="36">
        <v>36.6</v>
      </c>
      <c r="CG22" s="36">
        <v>25.1</v>
      </c>
      <c r="CH22" s="36">
        <v>24.1</v>
      </c>
      <c r="CI22" s="36">
        <v>25.4</v>
      </c>
      <c r="CJ22" s="36">
        <v>25.7</v>
      </c>
      <c r="CK22" s="36">
        <v>26</v>
      </c>
      <c r="CL22" s="13"/>
    </row>
    <row r="23" spans="1:90" ht="3.6" customHeight="1" thickBot="1" x14ac:dyDescent="0.3"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T23" s="38"/>
      <c r="U23" s="38"/>
      <c r="V23" s="38"/>
      <c r="W23" s="38"/>
      <c r="X23" s="38"/>
      <c r="Y23" s="38"/>
      <c r="Z23" s="38"/>
      <c r="AA23" s="38"/>
      <c r="AB23" s="38"/>
      <c r="AC23" s="38"/>
      <c r="AD23" s="38"/>
      <c r="AE23" s="38"/>
      <c r="AF23" s="38"/>
      <c r="AG23" s="38"/>
      <c r="AH23" s="38"/>
      <c r="AI23" s="38"/>
      <c r="AJ23" s="38"/>
      <c r="AK23" s="38"/>
      <c r="AL23" s="38"/>
      <c r="AM23" s="38"/>
      <c r="AN23" s="38"/>
      <c r="AO23" s="38"/>
      <c r="AP23" s="38"/>
      <c r="AQ23" s="38"/>
      <c r="AR23" s="38"/>
      <c r="AS23" s="38"/>
      <c r="AT23" s="38"/>
      <c r="AU23" s="38"/>
      <c r="AV23" s="38"/>
      <c r="AW23" s="38"/>
      <c r="AX23" s="38"/>
      <c r="AY23" s="38"/>
      <c r="AZ23" s="38"/>
      <c r="BA23" s="38"/>
      <c r="BB23" s="38"/>
      <c r="BC23" s="38"/>
      <c r="BD23" s="38"/>
      <c r="BE23" s="38"/>
      <c r="BF23" s="38"/>
      <c r="BG23" s="38"/>
      <c r="BH23" s="38"/>
      <c r="BI23" s="38"/>
      <c r="BJ23" s="38"/>
      <c r="BK23" s="38"/>
      <c r="BL23" s="38"/>
      <c r="BM23" s="38"/>
      <c r="BN23" s="38"/>
      <c r="BO23" s="38"/>
      <c r="BP23" s="38"/>
      <c r="BQ23" s="38"/>
      <c r="BR23" s="38"/>
      <c r="BS23" s="38"/>
      <c r="BT23" s="38"/>
      <c r="BU23" s="38"/>
      <c r="BV23" s="38"/>
      <c r="BW23" s="38"/>
      <c r="BX23" s="38"/>
      <c r="BY23" s="38"/>
      <c r="BZ23" s="39"/>
      <c r="CA23" s="39"/>
      <c r="CB23" s="39"/>
      <c r="CC23" s="39"/>
      <c r="CD23" s="39"/>
      <c r="CE23" s="39"/>
      <c r="CF23" s="39"/>
      <c r="CG23" s="39"/>
      <c r="CH23" s="39"/>
      <c r="CI23" s="39"/>
      <c r="CJ23" s="39"/>
      <c r="CK23" s="39"/>
    </row>
    <row r="24" spans="1:90" ht="16.5" thickBot="1" x14ac:dyDescent="0.3">
      <c r="C24" s="50" t="s">
        <v>23</v>
      </c>
      <c r="D24" s="51"/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13"/>
    </row>
    <row r="25" spans="1:90" s="12" customFormat="1" ht="35.450000000000003" customHeight="1" x14ac:dyDescent="0.25">
      <c r="C25" s="52">
        <v>0</v>
      </c>
      <c r="D25" s="53"/>
      <c r="E25" s="53">
        <v>44</v>
      </c>
      <c r="F25" s="53"/>
      <c r="G25" s="53" t="s">
        <v>24</v>
      </c>
      <c r="H25" s="53"/>
      <c r="I25" s="54" t="s">
        <v>25</v>
      </c>
      <c r="J25" s="54"/>
      <c r="K25" s="54"/>
      <c r="L25" s="54"/>
      <c r="M25" s="54"/>
      <c r="N25" s="54"/>
      <c r="O25" s="54"/>
      <c r="P25" s="54"/>
      <c r="Q25" s="54"/>
      <c r="R25" s="54"/>
      <c r="S25" s="40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  <c r="AK25" s="41"/>
      <c r="AL25" s="41"/>
      <c r="AM25" s="41"/>
      <c r="AN25" s="41"/>
      <c r="AO25" s="41"/>
      <c r="AP25" s="41"/>
      <c r="AQ25" s="41"/>
      <c r="AR25" s="41"/>
      <c r="AS25" s="41"/>
      <c r="AT25" s="41"/>
      <c r="AU25" s="41"/>
      <c r="AV25" s="41"/>
      <c r="AW25" s="41"/>
      <c r="AX25" s="41"/>
      <c r="AY25" s="41"/>
      <c r="AZ25" s="41"/>
      <c r="BA25" s="41"/>
      <c r="BB25" s="41"/>
      <c r="BC25" s="41"/>
      <c r="BD25" s="41"/>
      <c r="BE25" s="41"/>
      <c r="BF25" s="41"/>
      <c r="BG25" s="41"/>
      <c r="BH25" s="41"/>
      <c r="BI25" s="41"/>
      <c r="BJ25" s="41"/>
      <c r="BK25" s="41"/>
      <c r="BL25" s="41"/>
      <c r="BM25" s="41"/>
      <c r="BN25" s="41"/>
      <c r="BO25" s="41"/>
      <c r="BP25" s="41"/>
      <c r="BQ25" s="41"/>
      <c r="BR25" s="41"/>
      <c r="BS25" s="41"/>
      <c r="BT25" s="41"/>
      <c r="BU25" s="41"/>
      <c r="BV25" s="41"/>
      <c r="BW25" s="41"/>
      <c r="BX25" s="41"/>
      <c r="BY25" s="41"/>
    </row>
    <row r="26" spans="1:90" s="12" customFormat="1" ht="35.450000000000003" customHeight="1" x14ac:dyDescent="0.25">
      <c r="C26" s="44">
        <v>45</v>
      </c>
      <c r="D26" s="45"/>
      <c r="E26" s="45">
        <v>59</v>
      </c>
      <c r="F26" s="45"/>
      <c r="G26" s="45" t="s">
        <v>26</v>
      </c>
      <c r="H26" s="45"/>
      <c r="I26" s="46" t="s">
        <v>27</v>
      </c>
      <c r="J26" s="46"/>
      <c r="K26" s="46"/>
      <c r="L26" s="46"/>
      <c r="M26" s="46"/>
      <c r="N26" s="46"/>
      <c r="O26" s="46"/>
      <c r="P26" s="46"/>
      <c r="Q26" s="46"/>
      <c r="R26" s="46"/>
      <c r="S26" s="40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  <c r="AO26" s="41"/>
      <c r="AP26" s="41"/>
      <c r="AQ26" s="41"/>
      <c r="AR26" s="41"/>
      <c r="AS26" s="41"/>
      <c r="AT26" s="41"/>
      <c r="AU26" s="41"/>
      <c r="AV26" s="41"/>
      <c r="AW26" s="41"/>
      <c r="AX26" s="41"/>
      <c r="AY26" s="41"/>
      <c r="AZ26" s="41"/>
      <c r="BA26" s="41"/>
      <c r="BB26" s="41"/>
      <c r="BC26" s="41"/>
      <c r="BD26" s="41"/>
      <c r="BE26" s="41"/>
      <c r="BF26" s="41"/>
      <c r="BG26" s="41"/>
      <c r="BH26" s="41"/>
      <c r="BI26" s="41"/>
      <c r="BJ26" s="41"/>
      <c r="BK26" s="41"/>
      <c r="BL26" s="41"/>
      <c r="BM26" s="41"/>
      <c r="BN26" s="41"/>
      <c r="BO26" s="41"/>
      <c r="BP26" s="41"/>
      <c r="BQ26" s="41"/>
      <c r="BR26" s="41"/>
      <c r="BS26" s="41"/>
      <c r="BT26" s="41"/>
      <c r="BU26" s="41"/>
      <c r="BV26" s="41"/>
      <c r="BW26" s="41"/>
      <c r="BX26" s="41"/>
      <c r="BY26" s="41"/>
    </row>
    <row r="27" spans="1:90" s="12" customFormat="1" ht="35.450000000000003" customHeight="1" x14ac:dyDescent="0.25">
      <c r="C27" s="44">
        <v>60</v>
      </c>
      <c r="D27" s="45"/>
      <c r="E27" s="45">
        <v>74</v>
      </c>
      <c r="F27" s="45"/>
      <c r="G27" s="45" t="s">
        <v>28</v>
      </c>
      <c r="H27" s="45"/>
      <c r="I27" s="46" t="s">
        <v>29</v>
      </c>
      <c r="J27" s="46"/>
      <c r="K27" s="46"/>
      <c r="L27" s="46"/>
      <c r="M27" s="46"/>
      <c r="N27" s="46"/>
      <c r="O27" s="46"/>
      <c r="P27" s="46"/>
      <c r="Q27" s="46"/>
      <c r="R27" s="46"/>
      <c r="S27" s="40"/>
      <c r="T27" s="41"/>
      <c r="U27" s="41"/>
      <c r="V27" s="41"/>
      <c r="W27" s="41"/>
      <c r="X27" s="41"/>
      <c r="Y27" s="41"/>
      <c r="Z27" s="41"/>
      <c r="AA27" s="41"/>
      <c r="AB27" s="41"/>
      <c r="AC27" s="41"/>
      <c r="AD27" s="41"/>
      <c r="AE27" s="41"/>
      <c r="AF27" s="41"/>
      <c r="AG27" s="41"/>
      <c r="AH27" s="41"/>
      <c r="AI27" s="41"/>
      <c r="AJ27" s="41"/>
      <c r="AK27" s="41"/>
      <c r="AL27" s="41"/>
      <c r="AM27" s="41"/>
      <c r="AN27" s="41"/>
      <c r="AO27" s="41"/>
      <c r="AP27" s="41"/>
      <c r="AQ27" s="41"/>
      <c r="AR27" s="41"/>
      <c r="AS27" s="41"/>
      <c r="AT27" s="41"/>
      <c r="AU27" s="41"/>
      <c r="AV27" s="41"/>
      <c r="AW27" s="41"/>
      <c r="AX27" s="41"/>
      <c r="AY27" s="41"/>
      <c r="AZ27" s="41"/>
      <c r="BA27" s="41"/>
      <c r="BB27" s="41"/>
      <c r="BC27" s="41"/>
      <c r="BD27" s="41"/>
      <c r="BE27" s="41"/>
      <c r="BF27" s="41"/>
      <c r="BG27" s="41"/>
      <c r="BH27" s="41"/>
      <c r="BI27" s="41"/>
      <c r="BJ27" s="41"/>
      <c r="BK27" s="41"/>
      <c r="BL27" s="41"/>
      <c r="BM27" s="41"/>
      <c r="BN27" s="41"/>
      <c r="BO27" s="41"/>
      <c r="BP27" s="41"/>
      <c r="BQ27" s="41"/>
      <c r="BR27" s="41"/>
      <c r="BS27" s="41"/>
      <c r="BT27" s="41"/>
      <c r="BU27" s="41"/>
      <c r="BV27" s="41"/>
      <c r="BW27" s="41"/>
      <c r="BX27" s="41"/>
      <c r="BY27" s="41"/>
    </row>
    <row r="28" spans="1:90" s="12" customFormat="1" ht="35.450000000000003" customHeight="1" thickBot="1" x14ac:dyDescent="0.3">
      <c r="C28" s="47">
        <v>75</v>
      </c>
      <c r="D28" s="48"/>
      <c r="E28" s="48">
        <v>100</v>
      </c>
      <c r="F28" s="48"/>
      <c r="G28" s="48" t="s">
        <v>30</v>
      </c>
      <c r="H28" s="48"/>
      <c r="I28" s="49" t="s">
        <v>31</v>
      </c>
      <c r="J28" s="49"/>
      <c r="K28" s="49"/>
      <c r="L28" s="49"/>
      <c r="M28" s="49"/>
      <c r="N28" s="49"/>
      <c r="O28" s="49"/>
      <c r="P28" s="49"/>
      <c r="Q28" s="49"/>
      <c r="R28" s="49"/>
      <c r="S28" s="40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  <c r="AH28" s="41"/>
      <c r="AI28" s="41"/>
      <c r="AJ28" s="41"/>
      <c r="AK28" s="41"/>
      <c r="AL28" s="41"/>
      <c r="AM28" s="41"/>
      <c r="AN28" s="41"/>
      <c r="AO28" s="41"/>
      <c r="AP28" s="41"/>
      <c r="AQ28" s="41"/>
      <c r="AR28" s="41"/>
      <c r="AS28" s="41"/>
      <c r="AT28" s="41"/>
      <c r="AU28" s="41"/>
      <c r="AV28" s="41"/>
      <c r="AW28" s="41"/>
      <c r="AX28" s="41"/>
      <c r="AY28" s="41"/>
      <c r="AZ28" s="41"/>
      <c r="BA28" s="41"/>
      <c r="BB28" s="41"/>
      <c r="BC28" s="41"/>
      <c r="BD28" s="41"/>
      <c r="BE28" s="41"/>
      <c r="BF28" s="41"/>
      <c r="BG28" s="41"/>
      <c r="BH28" s="41"/>
      <c r="BI28" s="41"/>
      <c r="BJ28" s="41"/>
      <c r="BK28" s="41"/>
      <c r="BL28" s="41"/>
      <c r="BM28" s="41"/>
      <c r="BN28" s="41"/>
      <c r="BO28" s="41"/>
      <c r="BP28" s="41"/>
      <c r="BQ28" s="41"/>
      <c r="BR28" s="41"/>
      <c r="BS28" s="41"/>
      <c r="BT28" s="41"/>
      <c r="BU28" s="41"/>
      <c r="BV28" s="41"/>
      <c r="BW28" s="41"/>
      <c r="BX28" s="41"/>
      <c r="BY28" s="41"/>
    </row>
    <row r="29" spans="1:90" ht="3.6" customHeight="1" x14ac:dyDescent="0.25"/>
    <row r="30" spans="1:90" ht="118.15" customHeight="1" x14ac:dyDescent="0.25">
      <c r="C30" s="42" t="s">
        <v>32</v>
      </c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</row>
  </sheetData>
  <mergeCells count="24">
    <mergeCell ref="C26:D26"/>
    <mergeCell ref="E26:F26"/>
    <mergeCell ref="G26:H26"/>
    <mergeCell ref="I26:R26"/>
    <mergeCell ref="F6:R6"/>
    <mergeCell ref="C8:R8"/>
    <mergeCell ref="C10:C11"/>
    <mergeCell ref="D10:F10"/>
    <mergeCell ref="G10:H10"/>
    <mergeCell ref="I10:R10"/>
    <mergeCell ref="C24:R24"/>
    <mergeCell ref="C25:D25"/>
    <mergeCell ref="E25:F25"/>
    <mergeCell ref="G25:H25"/>
    <mergeCell ref="I25:R25"/>
    <mergeCell ref="C30:R30"/>
    <mergeCell ref="C27:D27"/>
    <mergeCell ref="E27:F27"/>
    <mergeCell ref="G27:H27"/>
    <mergeCell ref="I27:R27"/>
    <mergeCell ref="C28:D28"/>
    <mergeCell ref="E28:F28"/>
    <mergeCell ref="G28:H28"/>
    <mergeCell ref="I28:R28"/>
  </mergeCells>
  <conditionalFormatting sqref="G12:H22 G25:H28">
    <cfRule type="cellIs" dxfId="3" priority="1" operator="equal">
      <formula>"Critical"</formula>
    </cfRule>
    <cfRule type="cellIs" dxfId="2" priority="2" operator="equal">
      <formula>"High"</formula>
    </cfRule>
    <cfRule type="containsText" dxfId="1" priority="3" operator="containsText" text="Moderate">
      <formula>NOT(ISERROR(SEARCH("Moderate",G12)))</formula>
    </cfRule>
    <cfRule type="containsText" dxfId="0" priority="4" operator="containsText" text="Low">
      <formula>NOT(ISERROR(SEARCH("Low",G12)))</formula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manualMax="100" manualMin="25" type="column" displayEmptyCellsAs="gap" minAxisType="custom" maxAxisType="custom" xr2:uid="{911125F9-6E24-4A25-9266-281EEE5FD46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Sheet1!T12:Z12</xm:f>
              <xm:sqref>I12</xm:sqref>
            </x14:sparkline>
            <x14:sparkline>
              <xm:f>Sheet1!T13:Z13</xm:f>
              <xm:sqref>I13</xm:sqref>
            </x14:sparkline>
            <x14:sparkline>
              <xm:f>Sheet1!T14:Z14</xm:f>
              <xm:sqref>I14</xm:sqref>
            </x14:sparkline>
            <x14:sparkline>
              <xm:f>Sheet1!T15:Z15</xm:f>
              <xm:sqref>I15</xm:sqref>
            </x14:sparkline>
            <x14:sparkline>
              <xm:f>Sheet1!T16:Z16</xm:f>
              <xm:sqref>I16</xm:sqref>
            </x14:sparkline>
            <x14:sparkline>
              <xm:f>Sheet1!T17:Z17</xm:f>
              <xm:sqref>I17</xm:sqref>
            </x14:sparkline>
            <x14:sparkline>
              <xm:f>Sheet1!T18:Z18</xm:f>
              <xm:sqref>I18</xm:sqref>
            </x14:sparkline>
            <x14:sparkline>
              <xm:f>Sheet1!T19:Z19</xm:f>
              <xm:sqref>I19</xm:sqref>
            </x14:sparkline>
            <x14:sparkline>
              <xm:f>Sheet1!T20:Z20</xm:f>
              <xm:sqref>I20</xm:sqref>
            </x14:sparkline>
            <x14:sparkline>
              <xm:f>Sheet1!T21:Z21</xm:f>
              <xm:sqref>I21</xm:sqref>
            </x14:sparkline>
            <x14:sparkline>
              <xm:f>Sheet1!T22:Z22</xm:f>
              <xm:sqref>I22</xm:sqref>
            </x14:sparkline>
          </x14:sparklines>
        </x14:sparklineGroup>
        <x14:sparklineGroup manualMax="100" manualMin="25" type="column" displayEmptyCellsAs="gap" minAxisType="custom" maxAxisType="custom" xr2:uid="{181DF338-623B-4722-9A9F-4BD8DE20E2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Sheet1!AA12:AG12</xm:f>
              <xm:sqref>J12</xm:sqref>
            </x14:sparkline>
            <x14:sparkline>
              <xm:f>Sheet1!AA13:AG13</xm:f>
              <xm:sqref>J13</xm:sqref>
            </x14:sparkline>
            <x14:sparkline>
              <xm:f>Sheet1!AA14:AG14</xm:f>
              <xm:sqref>J14</xm:sqref>
            </x14:sparkline>
            <x14:sparkline>
              <xm:f>Sheet1!AA15:AG15</xm:f>
              <xm:sqref>J15</xm:sqref>
            </x14:sparkline>
            <x14:sparkline>
              <xm:f>Sheet1!AA16:AG16</xm:f>
              <xm:sqref>J16</xm:sqref>
            </x14:sparkline>
            <x14:sparkline>
              <xm:f>Sheet1!AA17:AG17</xm:f>
              <xm:sqref>J17</xm:sqref>
            </x14:sparkline>
            <x14:sparkline>
              <xm:f>Sheet1!AA18:AG18</xm:f>
              <xm:sqref>J18</xm:sqref>
            </x14:sparkline>
            <x14:sparkline>
              <xm:f>Sheet1!AA19:AG19</xm:f>
              <xm:sqref>J19</xm:sqref>
            </x14:sparkline>
            <x14:sparkline>
              <xm:f>Sheet1!AA20:AG20</xm:f>
              <xm:sqref>J20</xm:sqref>
            </x14:sparkline>
            <x14:sparkline>
              <xm:f>Sheet1!AA21:AG21</xm:f>
              <xm:sqref>J21</xm:sqref>
            </x14:sparkline>
            <x14:sparkline>
              <xm:f>Sheet1!AA22:AG22</xm:f>
              <xm:sqref>J22</xm:sqref>
            </x14:sparkline>
          </x14:sparklines>
        </x14:sparklineGroup>
        <x14:sparklineGroup manualMax="100" manualMin="25" type="column" displayEmptyCellsAs="gap" minAxisType="custom" maxAxisType="custom" xr2:uid="{0AF01D6E-F389-4FBC-BCF9-F74D4C4DBC0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Sheet1!AH12:AN12</xm:f>
              <xm:sqref>K12</xm:sqref>
            </x14:sparkline>
            <x14:sparkline>
              <xm:f>Sheet1!AH13:AN13</xm:f>
              <xm:sqref>K13</xm:sqref>
            </x14:sparkline>
            <x14:sparkline>
              <xm:f>Sheet1!AH14:AN14</xm:f>
              <xm:sqref>K14</xm:sqref>
            </x14:sparkline>
            <x14:sparkline>
              <xm:f>Sheet1!AH15:AN15</xm:f>
              <xm:sqref>K15</xm:sqref>
            </x14:sparkline>
            <x14:sparkline>
              <xm:f>Sheet1!AH16:AN16</xm:f>
              <xm:sqref>K16</xm:sqref>
            </x14:sparkline>
            <x14:sparkline>
              <xm:f>Sheet1!AH17:AN17</xm:f>
              <xm:sqref>K17</xm:sqref>
            </x14:sparkline>
            <x14:sparkline>
              <xm:f>Sheet1!AH18:AN18</xm:f>
              <xm:sqref>K18</xm:sqref>
            </x14:sparkline>
            <x14:sparkline>
              <xm:f>Sheet1!AH19:AN19</xm:f>
              <xm:sqref>K19</xm:sqref>
            </x14:sparkline>
            <x14:sparkline>
              <xm:f>Sheet1!AH20:AN20</xm:f>
              <xm:sqref>K20</xm:sqref>
            </x14:sparkline>
            <x14:sparkline>
              <xm:f>Sheet1!AH21:AN21</xm:f>
              <xm:sqref>K21</xm:sqref>
            </x14:sparkline>
            <x14:sparkline>
              <xm:f>Sheet1!AH22:AN22</xm:f>
              <xm:sqref>K22</xm:sqref>
            </x14:sparkline>
          </x14:sparklines>
        </x14:sparklineGroup>
        <x14:sparklineGroup manualMax="100" manualMin="25" type="column" displayEmptyCellsAs="gap" minAxisType="custom" maxAxisType="custom" xr2:uid="{898816CF-8BC7-47A1-970E-3A7215899C8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Sheet1!AO12:AU12</xm:f>
              <xm:sqref>L12</xm:sqref>
            </x14:sparkline>
            <x14:sparkline>
              <xm:f>Sheet1!AO13:AU13</xm:f>
              <xm:sqref>L13</xm:sqref>
            </x14:sparkline>
            <x14:sparkline>
              <xm:f>Sheet1!AO14:AU14</xm:f>
              <xm:sqref>L14</xm:sqref>
            </x14:sparkline>
            <x14:sparkline>
              <xm:f>Sheet1!AO15:AU15</xm:f>
              <xm:sqref>L15</xm:sqref>
            </x14:sparkline>
            <x14:sparkline>
              <xm:f>Sheet1!AO16:AU16</xm:f>
              <xm:sqref>L16</xm:sqref>
            </x14:sparkline>
            <x14:sparkline>
              <xm:f>Sheet1!AO17:AU17</xm:f>
              <xm:sqref>L17</xm:sqref>
            </x14:sparkline>
            <x14:sparkline>
              <xm:f>Sheet1!AO18:AU18</xm:f>
              <xm:sqref>L18</xm:sqref>
            </x14:sparkline>
            <x14:sparkline>
              <xm:f>Sheet1!AO19:AU19</xm:f>
              <xm:sqref>L19</xm:sqref>
            </x14:sparkline>
            <x14:sparkline>
              <xm:f>Sheet1!AO20:AU20</xm:f>
              <xm:sqref>L20</xm:sqref>
            </x14:sparkline>
            <x14:sparkline>
              <xm:f>Sheet1!AO21:AU21</xm:f>
              <xm:sqref>L21</xm:sqref>
            </x14:sparkline>
            <x14:sparkline>
              <xm:f>Sheet1!AO22:AU22</xm:f>
              <xm:sqref>L22</xm:sqref>
            </x14:sparkline>
          </x14:sparklines>
        </x14:sparklineGroup>
        <x14:sparklineGroup manualMax="100" manualMin="25" type="column" displayEmptyCellsAs="gap" minAxisType="custom" maxAxisType="custom" xr2:uid="{C5FAD157-B317-4741-80CB-EBB3D05EB2E1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Sheet1!AV12:BB12</xm:f>
              <xm:sqref>M12</xm:sqref>
            </x14:sparkline>
            <x14:sparkline>
              <xm:f>Sheet1!AV13:BB13</xm:f>
              <xm:sqref>M13</xm:sqref>
            </x14:sparkline>
            <x14:sparkline>
              <xm:f>Sheet1!AV14:BB14</xm:f>
              <xm:sqref>M14</xm:sqref>
            </x14:sparkline>
            <x14:sparkline>
              <xm:f>Sheet1!AV15:BB15</xm:f>
              <xm:sqref>M15</xm:sqref>
            </x14:sparkline>
            <x14:sparkline>
              <xm:f>Sheet1!AV16:BB16</xm:f>
              <xm:sqref>M16</xm:sqref>
            </x14:sparkline>
            <x14:sparkline>
              <xm:f>Sheet1!AV17:BB17</xm:f>
              <xm:sqref>M17</xm:sqref>
            </x14:sparkline>
            <x14:sparkline>
              <xm:f>Sheet1!AV18:BB18</xm:f>
              <xm:sqref>M18</xm:sqref>
            </x14:sparkline>
            <x14:sparkline>
              <xm:f>Sheet1!AV19:BB19</xm:f>
              <xm:sqref>M19</xm:sqref>
            </x14:sparkline>
            <x14:sparkline>
              <xm:f>Sheet1!AV20:BB20</xm:f>
              <xm:sqref>M20</xm:sqref>
            </x14:sparkline>
            <x14:sparkline>
              <xm:f>Sheet1!AV21:BB21</xm:f>
              <xm:sqref>M21</xm:sqref>
            </x14:sparkline>
            <x14:sparkline>
              <xm:f>Sheet1!AV22:BB22</xm:f>
              <xm:sqref>M22</xm:sqref>
            </x14:sparkline>
          </x14:sparklines>
        </x14:sparklineGroup>
        <x14:sparklineGroup manualMax="100" manualMin="25" type="column" displayEmptyCellsAs="gap" minAxisType="custom" maxAxisType="custom" xr2:uid="{827FE161-0DD7-43B8-983B-F86E407119A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Sheet1!BC12:BI12</xm:f>
              <xm:sqref>N12</xm:sqref>
            </x14:sparkline>
            <x14:sparkline>
              <xm:f>Sheet1!BC13:BI13</xm:f>
              <xm:sqref>N13</xm:sqref>
            </x14:sparkline>
            <x14:sparkline>
              <xm:f>Sheet1!BC14:BI14</xm:f>
              <xm:sqref>N14</xm:sqref>
            </x14:sparkline>
            <x14:sparkline>
              <xm:f>Sheet1!BC15:BI15</xm:f>
              <xm:sqref>N15</xm:sqref>
            </x14:sparkline>
            <x14:sparkline>
              <xm:f>Sheet1!BC16:BI16</xm:f>
              <xm:sqref>N16</xm:sqref>
            </x14:sparkline>
            <x14:sparkline>
              <xm:f>Sheet1!BC17:BI17</xm:f>
              <xm:sqref>N17</xm:sqref>
            </x14:sparkline>
            <x14:sparkline>
              <xm:f>Sheet1!BC18:BI18</xm:f>
              <xm:sqref>N18</xm:sqref>
            </x14:sparkline>
            <x14:sparkline>
              <xm:f>Sheet1!BC19:BI19</xm:f>
              <xm:sqref>N19</xm:sqref>
            </x14:sparkline>
            <x14:sparkline>
              <xm:f>Sheet1!BC20:BI20</xm:f>
              <xm:sqref>N20</xm:sqref>
            </x14:sparkline>
            <x14:sparkline>
              <xm:f>Sheet1!BC21:BI21</xm:f>
              <xm:sqref>N21</xm:sqref>
            </x14:sparkline>
            <x14:sparkline>
              <xm:f>Sheet1!BC22:BI22</xm:f>
              <xm:sqref>N22</xm:sqref>
            </x14:sparkline>
          </x14:sparklines>
        </x14:sparklineGroup>
        <x14:sparklineGroup manualMax="100" manualMin="25" type="column" displayEmptyCellsAs="gap" minAxisType="custom" maxAxisType="custom" xr2:uid="{B466A0BB-96F5-4D41-8D9C-4EDBFDEAB4F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Sheet1!BJ12:BP12</xm:f>
              <xm:sqref>O12</xm:sqref>
            </x14:sparkline>
            <x14:sparkline>
              <xm:f>Sheet1!BJ13:BP13</xm:f>
              <xm:sqref>O13</xm:sqref>
            </x14:sparkline>
            <x14:sparkline>
              <xm:f>Sheet1!BJ14:BP14</xm:f>
              <xm:sqref>O14</xm:sqref>
            </x14:sparkline>
            <x14:sparkline>
              <xm:f>Sheet1!BJ15:BP15</xm:f>
              <xm:sqref>O15</xm:sqref>
            </x14:sparkline>
            <x14:sparkline>
              <xm:f>Sheet1!BJ16:BP16</xm:f>
              <xm:sqref>O16</xm:sqref>
            </x14:sparkline>
            <x14:sparkline>
              <xm:f>Sheet1!BJ17:BP17</xm:f>
              <xm:sqref>O17</xm:sqref>
            </x14:sparkline>
            <x14:sparkline>
              <xm:f>Sheet1!BJ18:BP18</xm:f>
              <xm:sqref>O18</xm:sqref>
            </x14:sparkline>
            <x14:sparkline>
              <xm:f>Sheet1!BJ19:BP19</xm:f>
              <xm:sqref>O19</xm:sqref>
            </x14:sparkline>
            <x14:sparkline>
              <xm:f>Sheet1!BJ20:BP20</xm:f>
              <xm:sqref>O20</xm:sqref>
            </x14:sparkline>
            <x14:sparkline>
              <xm:f>Sheet1!BJ21:BP21</xm:f>
              <xm:sqref>O21</xm:sqref>
            </x14:sparkline>
            <x14:sparkline>
              <xm:f>Sheet1!BJ22:BP22</xm:f>
              <xm:sqref>O22</xm:sqref>
            </x14:sparkline>
          </x14:sparklines>
        </x14:sparklineGroup>
        <x14:sparklineGroup manualMax="100" manualMin="25" type="column" displayEmptyCellsAs="gap" minAxisType="custom" maxAxisType="custom" xr2:uid="{AE94DC34-1FA2-427E-965D-A72D27E31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Sheet1!BQ12:BW12</xm:f>
              <xm:sqref>P12</xm:sqref>
            </x14:sparkline>
            <x14:sparkline>
              <xm:f>Sheet1!BQ13:BW13</xm:f>
              <xm:sqref>P13</xm:sqref>
            </x14:sparkline>
            <x14:sparkline>
              <xm:f>Sheet1!BQ14:BW14</xm:f>
              <xm:sqref>P14</xm:sqref>
            </x14:sparkline>
            <x14:sparkline>
              <xm:f>Sheet1!BQ15:BW15</xm:f>
              <xm:sqref>P15</xm:sqref>
            </x14:sparkline>
            <x14:sparkline>
              <xm:f>Sheet1!BQ16:BW16</xm:f>
              <xm:sqref>P16</xm:sqref>
            </x14:sparkline>
            <x14:sparkline>
              <xm:f>Sheet1!BQ17:BW17</xm:f>
              <xm:sqref>P17</xm:sqref>
            </x14:sparkline>
            <x14:sparkline>
              <xm:f>Sheet1!BQ18:BW18</xm:f>
              <xm:sqref>P18</xm:sqref>
            </x14:sparkline>
            <x14:sparkline>
              <xm:f>Sheet1!BQ19:BW19</xm:f>
              <xm:sqref>P19</xm:sqref>
            </x14:sparkline>
            <x14:sparkline>
              <xm:f>Sheet1!BQ20:BW20</xm:f>
              <xm:sqref>P20</xm:sqref>
            </x14:sparkline>
            <x14:sparkline>
              <xm:f>Sheet1!BQ21:BW21</xm:f>
              <xm:sqref>P21</xm:sqref>
            </x14:sparkline>
            <x14:sparkline>
              <xm:f>Sheet1!BQ22:BW22</xm:f>
              <xm:sqref>P22</xm:sqref>
            </x14:sparkline>
          </x14:sparklines>
        </x14:sparklineGroup>
        <x14:sparklineGroup manualMax="100" manualMin="25" type="column" displayEmptyCellsAs="gap" minAxisType="custom" maxAxisType="custom" xr2:uid="{F9FC679D-458C-41CB-84C8-1A552E4C9A9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Sheet1!BX12:CD12</xm:f>
              <xm:sqref>Q12</xm:sqref>
            </x14:sparkline>
            <x14:sparkline>
              <xm:f>Sheet1!BX13:CD13</xm:f>
              <xm:sqref>Q13</xm:sqref>
            </x14:sparkline>
            <x14:sparkline>
              <xm:f>Sheet1!BX14:CD14</xm:f>
              <xm:sqref>Q14</xm:sqref>
            </x14:sparkline>
            <x14:sparkline>
              <xm:f>Sheet1!BX15:CD15</xm:f>
              <xm:sqref>Q15</xm:sqref>
            </x14:sparkline>
            <x14:sparkline>
              <xm:f>Sheet1!BX16:CD16</xm:f>
              <xm:sqref>Q16</xm:sqref>
            </x14:sparkline>
            <x14:sparkline>
              <xm:f>Sheet1!BX17:CD17</xm:f>
              <xm:sqref>Q17</xm:sqref>
            </x14:sparkline>
            <x14:sparkline>
              <xm:f>Sheet1!BX18:CD18</xm:f>
              <xm:sqref>Q18</xm:sqref>
            </x14:sparkline>
            <x14:sparkline>
              <xm:f>Sheet1!BX19:CD19</xm:f>
              <xm:sqref>Q19</xm:sqref>
            </x14:sparkline>
            <x14:sparkline>
              <xm:f>Sheet1!BX20:CD20</xm:f>
              <xm:sqref>Q20</xm:sqref>
            </x14:sparkline>
            <x14:sparkline>
              <xm:f>Sheet1!BX21:CD21</xm:f>
              <xm:sqref>Q21</xm:sqref>
            </x14:sparkline>
            <x14:sparkline>
              <xm:f>Sheet1!BX22:CD22</xm:f>
              <xm:sqref>Q22</xm:sqref>
            </x14:sparkline>
          </x14:sparklines>
        </x14:sparklineGroup>
        <x14:sparklineGroup manualMax="100" manualMin="25" type="column" displayEmptyCellsAs="gap" minAxisType="custom" maxAxisType="custom" xr2:uid="{04304582-2F00-4063-82F7-882B9271458E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Sheet1!CE12:CK12</xm:f>
              <xm:sqref>R12</xm:sqref>
            </x14:sparkline>
            <x14:sparkline>
              <xm:f>Sheet1!CE13:CK13</xm:f>
              <xm:sqref>R13</xm:sqref>
            </x14:sparkline>
            <x14:sparkline>
              <xm:f>Sheet1!CE14:CK14</xm:f>
              <xm:sqref>R14</xm:sqref>
            </x14:sparkline>
            <x14:sparkline>
              <xm:f>Sheet1!CE15:CK15</xm:f>
              <xm:sqref>R15</xm:sqref>
            </x14:sparkline>
            <x14:sparkline>
              <xm:f>Sheet1!CE16:CK16</xm:f>
              <xm:sqref>R16</xm:sqref>
            </x14:sparkline>
            <x14:sparkline>
              <xm:f>Sheet1!CE17:CK17</xm:f>
              <xm:sqref>R17</xm:sqref>
            </x14:sparkline>
            <x14:sparkline>
              <xm:f>Sheet1!CE18:CK18</xm:f>
              <xm:sqref>R18</xm:sqref>
            </x14:sparkline>
            <x14:sparkline>
              <xm:f>Sheet1!CE19:CK19</xm:f>
              <xm:sqref>R19</xm:sqref>
            </x14:sparkline>
            <x14:sparkline>
              <xm:f>Sheet1!CE20:CK20</xm:f>
              <xm:sqref>R20</xm:sqref>
            </x14:sparkline>
            <x14:sparkline>
              <xm:f>Sheet1!CE21:CK21</xm:f>
              <xm:sqref>R21</xm:sqref>
            </x14:sparkline>
            <x14:sparkline>
              <xm:f>Sheet1!CE22:CK22</xm:f>
              <xm:sqref>R22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 Visser</dc:creator>
  <cp:lastModifiedBy>Matt Visser</cp:lastModifiedBy>
  <dcterms:created xsi:type="dcterms:W3CDTF">2026-03-21T14:31:33Z</dcterms:created>
  <dcterms:modified xsi:type="dcterms:W3CDTF">2026-03-21T14:47:13Z</dcterms:modified>
</cp:coreProperties>
</file>